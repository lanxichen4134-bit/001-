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349a4373840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轮汇总" sheetId="1" r:id="Rba2f448ea9394049"/>
    <x:sheet xmlns:r="http://schemas.openxmlformats.org/officeDocument/2006/relationships" name="批次记录" sheetId="2" r:id="R0c157be274e744ba"/>
    <x:sheet xmlns:r="http://schemas.openxmlformats.org/officeDocument/2006/relationships" name="搜索记录" sheetId="3" r:id="R00e3990f5e2f4211"/>
    <x:sheet xmlns:r="http://schemas.openxmlformats.org/officeDocument/2006/relationships" name="账号筛选" sheetId="4" r:id="Rc3ca67d0ae3b40cd"/>
    <x:sheet xmlns:r="http://schemas.openxmlformats.org/officeDocument/2006/relationships" name="笔记筛选" sheetId="5" r:id="R171418930a524734"/>
    <x:sheet xmlns:r="http://schemas.openxmlformats.org/officeDocument/2006/relationships" name="评论证据" sheetId="6" r:id="R26402ccd6e6e4ea3"/>
    <x:sheet xmlns:r="http://schemas.openxmlformats.org/officeDocument/2006/relationships" name="问题归类" sheetId="7" r:id="Rc6e84d30c8f94144"/>
    <x:sheet xmlns:r="http://schemas.openxmlformats.org/officeDocument/2006/relationships" name="问题评论关联" sheetId="8" r:id="Rfb4f99635f974ebe"/>
    <x:sheet xmlns:r="http://schemas.openxmlformats.org/officeDocument/2006/relationships" name="选题判断" sheetId="9" r:id="Rae1dcf4bdfdf4d3b"/>
    <x:sheet xmlns:r="http://schemas.openxmlformats.org/officeDocument/2006/relationships" name="平台预审" sheetId="10" r:id="Re7921920cb164bf3"/>
    <x:sheet xmlns:r="http://schemas.openxmlformats.org/officeDocument/2006/relationships" name="推荐理由" sheetId="11" r:id="R7cb78fbc93754f76"/>
    <x:sheet xmlns:r="http://schemas.openxmlformats.org/officeDocument/2006/relationships" name="证据索引" sheetId="12" r:id="R880dd085f7d044c1"/>
    <x:sheet xmlns:r="http://schemas.openxmlformats.org/officeDocument/2006/relationships" name="填写与口径" sheetId="13" r:id="R0978e8e6155c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9">
    <x:font>
      <x:sz val="11"/>
      <x:name val="Carlito"/>
    </x:font>
    <x:font>
      <x:sz val="10"/>
      <x:color rgb="FF172B3A"/>
      <x:name val="Noto Sans CJK SC"/>
    </x:font>
    <x:font>
      <x:b/>
      <x:sz val="15"/>
      <x:color rgb="FF172B3A"/>
      <x:name val="Noto Sans CJK SC"/>
    </x:font>
    <x:font>
      <x:sz val="10"/>
      <x:color rgb="FF586B76"/>
      <x:name val="Noto Sans CJK SC"/>
    </x:font>
    <x:font>
      <x:b/>
      <x:sz val="10"/>
      <x:color rgb="FFFFFFFF"/>
      <x:name val="Noto Sans CJK SC"/>
    </x:font>
    <x:font>
      <x:b/>
      <x:sz val="11"/>
      <x:color rgb="FFFFFFFF"/>
      <x:name val="Noto Sans CJK SC"/>
    </x:font>
    <x:font>
      <x:sz val="11"/>
      <x:color rgb="FF172B3A"/>
      <x:name val="Noto Sans CJK SC"/>
    </x:font>
    <x:font>
      <x:b/>
      <x:sz val="16"/>
      <x:color rgb="FF172B3A"/>
      <x:name val="Noto Sans CJK SC"/>
    </x:font>
    <x:font>
      <x:sz val="11"/>
      <x:name val="Noto Sans CJK SC"/>
    </x:font>
  </x:fonts>
  <x:fills count="5">
    <x:fill>
      <x:patternFill patternType="none"/>
    </x:fill>
    <x:fill>
      <x:patternFill patternType="gray125"/>
    </x:fill>
    <x:fill>
      <x:patternFill patternType="solid">
        <x:fgColor rgb="FF24445B"/>
      </x:patternFill>
    </x:fill>
    <x:fill>
      <x:patternFill patternType="solid">
        <x:fgColor rgb="FFFFF4D6"/>
      </x:patternFill>
    </x:fill>
    <x:fill>
      <x:patternFill patternType="solid">
        <x:fgColor rgb="FFEFF3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3" borderId="0" xfId="0" applyNumberFormat="1" applyFont="1" applyFill="1" applyBorder="1"/>
    <x:xf numFmtId="0" fontId="6" fillId="2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2921"/>
      </x:font>
      <x:fill>
        <x:patternFill>
          <x:bgColor rgb="FFFC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3773bfe724323" /><Relationship Type="http://schemas.openxmlformats.org/officeDocument/2006/relationships/theme" Target="/xl/theme/theme1.xml" Id="R5f48fb7a67ec4d8b" /><Relationship Type="http://schemas.openxmlformats.org/officeDocument/2006/relationships/sharedStrings" Target="/xl/sharedStrings.xml" Id="Rc978afb10dce4c7e" /><Relationship Type="http://schemas.openxmlformats.org/officeDocument/2006/relationships/worksheet" Target="/xl/worksheets/sheet1.xml" Id="Rba2f448ea9394049" /><Relationship Type="http://schemas.openxmlformats.org/officeDocument/2006/relationships/worksheet" Target="/xl/worksheets/sheet2.xml" Id="R0c157be274e744ba" /><Relationship Type="http://schemas.openxmlformats.org/officeDocument/2006/relationships/worksheet" Target="/xl/worksheets/sheet3.xml" Id="R00e3990f5e2f4211" /><Relationship Type="http://schemas.openxmlformats.org/officeDocument/2006/relationships/worksheet" Target="/xl/worksheets/sheet4.xml" Id="Rc3ca67d0ae3b40cd" /><Relationship Type="http://schemas.openxmlformats.org/officeDocument/2006/relationships/worksheet" Target="/xl/worksheets/sheet5.xml" Id="R171418930a524734" /><Relationship Type="http://schemas.openxmlformats.org/officeDocument/2006/relationships/worksheet" Target="/xl/worksheets/sheet6.xml" Id="R26402ccd6e6e4ea3" /><Relationship Type="http://schemas.openxmlformats.org/officeDocument/2006/relationships/worksheet" Target="/xl/worksheets/sheet7.xml" Id="Rc6e84d30c8f94144" /><Relationship Type="http://schemas.openxmlformats.org/officeDocument/2006/relationships/worksheet" Target="/xl/worksheets/sheet8.xml" Id="Rfb4f99635f974ebe" /><Relationship Type="http://schemas.openxmlformats.org/officeDocument/2006/relationships/worksheet" Target="/xl/worksheets/sheet9.xml" Id="Rae1dcf4bdfdf4d3b" /><Relationship Type="http://schemas.openxmlformats.org/officeDocument/2006/relationships/worksheet" Target="/xl/worksheets/sheet10.xml" Id="Re7921920cb164bf3" /><Relationship Type="http://schemas.openxmlformats.org/officeDocument/2006/relationships/worksheet" Target="/xl/worksheets/sheet11.xml" Id="R7cb78fbc93754f76" /><Relationship Type="http://schemas.openxmlformats.org/officeDocument/2006/relationships/worksheet" Target="/xl/worksheets/sheet12.xml" Id="R880dd085f7d044c1" /><Relationship Type="http://schemas.openxmlformats.org/officeDocument/2006/relationships/worksheet" Target="/xl/worksheets/sheet13.xml" Id="R0978e8e6155c429d" /></Relationships>
</file>

<file path=xl/tables/table1.xml><?xml version="1.0" encoding="utf-8"?>
<x:table xmlns:x="http://schemas.openxmlformats.org/spreadsheetml/2006/main" id="13" name="FinalTable_T" displayName="FinalTable_T" ref="A5:T17" headerRowCount="1" totalsRowCount="0" totalsRowShown="0">
  <x:tableColumns count="20">
    <x:tableColumn id="1" name="批次BID"/>
    <x:tableColumn id="2" name="批次阶段"/>
    <x:tableColumn id="3" name="主主题"/>
    <x:tableColumn id="4" name="发现路线"/>
    <x:tableColumn id="5" name="两类来源"/>
    <x:tableColumn id="6" name="授权日期"/>
    <x:tableColumn id="7" name="分钟上限"/>
    <x:tableColumn id="8" name="开始时间"/>
    <x:tableColumn id="9" name="结束时间"/>
    <x:tableColumn id="10" name="实际分钟"/>
    <x:tableColumn id="11" name="运行状态"/>
    <x:tableColumn id="12" name="停止原因"/>
    <x:tableColumn id="13" name="复审人"/>
    <x:tableColumn id="14" name="下一批授权"/>
    <x:tableColumn id="15" name="观察次数"/>
    <x:tableColumn id="16" name="本批去重"/>
    <x:tableColumn id="17" name="本批新增"/>
    <x:tableColumn id="18" name="有效问题评论"/>
    <x:tableColumn id="19" name="有效占比"/>
    <x:tableColumn id="20" name="预算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_3" displayName="DataTable_3" ref="A5:Q35" headerRowCount="1" totalsRowCount="0" totalsRowShown="0">
  <x:autoFilter ref="A5:Q35"/>
  <x:tableColumns count="17">
    <x:tableColumn id="1" name="检索QID"/>
    <x:tableColumn id="2" name="批次BID"/>
    <x:tableColumn id="3" name="关键词KID"/>
    <x:tableColumn id="4" name="实际搜索词"/>
    <x:tableColumn id="5" name="词组类别"/>
    <x:tableColumn id="6" name="发现路线"/>
    <x:tableColumn id="7" name="账号类型"/>
    <x:tableColumn id="8" name="开始时间"/>
    <x:tableColumn id="9" name="结束时间"/>
    <x:tableColumn id="10" name="实际排序"/>
    <x:tableColumn id="11" name="筛选条件"/>
    <x:tableColumn id="12" name="起始序号"/>
    <x:tableColumn id="13" name="结束序号"/>
    <x:tableColumn id="14" name="显示结果数"/>
    <x:tableColumn id="15" name="更换或保留理由"/>
    <x:tableColumn id="16" name="停止原因"/>
    <x:tableColumn id="17" name="证据E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_4" displayName="DataTable_4" ref="A5:Q25" headerRowCount="1" totalsRowCount="0" totalsRowShown="0">
  <x:autoFilter ref="A5:Q25"/>
  <x:tableColumns count="17">
    <x:tableColumn id="1" name="账号AID"/>
    <x:tableColumn id="2" name="发现QID"/>
    <x:tableColumn id="3" name="批次BID"/>
    <x:tableColumn id="4" name="页面账号标识"/>
    <x:tableColumn id="5" name="主页链接"/>
    <x:tableColumn id="6" name="来源类型"/>
    <x:tableColumn id="7" name="内容主题"/>
    <x:tableColumn id="8" name="相关性与场景证据"/>
    <x:tableColumn id="9" name="最近可见笔记范围"/>
    <x:tableColumn id="10" name="持续相关发布"/>
    <x:tableColumn id="11" name="评论研究信号"/>
    <x:tableColumn id="12" name="专业与商业倾向"/>
    <x:tableColumn id="13" name="页面可访问"/>
    <x:tableColumn id="14" name="筛选状态"/>
    <x:tableColumn id="15" name="判定理由"/>
    <x:tableColumn id="16" name="已研究笔记数"/>
    <x:tableColumn id="17" name="实际使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FinalTable_O" displayName="FinalTable_O" ref="A5:O35" headerRowCount="1" totalsRowCount="0" totalsRowShown="0">
  <x:tableColumns count="15">
    <x:tableColumn id="1" name="笔记NID"/>
    <x:tableColumn id="2" name="检索QID"/>
    <x:tableColumn id="3" name="账号AID"/>
    <x:tableColumn id="4" name="批次BID"/>
    <x:tableColumn id="5" name="笔记标题"/>
    <x:tableColumn id="6" name="笔记链接"/>
    <x:tableColumn id="7" name="笔记类型"/>
    <x:tableColumn id="8" name="发布时间"/>
    <x:tableColumn id="9" name="观察时间"/>
    <x:tableColumn id="10" name="结果排序与位置"/>
    <x:tableColumn id="11" name="语境读取范围"/>
    <x:tableColumn id="12" name="选入或排除原因"/>
    <x:tableColumn id="13" name="笔记状态"/>
    <x:tableColumn id="14" name="证据EID"/>
    <x:tableColumn id="15" name="搜索链路完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FinalTable_Z" displayName="FinalTable_Z" ref="A5:Z205" headerRowCount="1" totalsRowCount="0" totalsRowShown="0">
  <x:tableColumns count="26">
    <x:tableColumn id="1" name="观察OID"/>
    <x:tableColumn id="2" name="批次BID"/>
    <x:tableColumn id="3" name="统计范围"/>
    <x:tableColumn id="4" name="规范CID"/>
    <x:tableColumn id="5" name="笔记NID"/>
    <x:tableColumn id="6" name="证据EID"/>
    <x:tableColumn id="7" name="观察时间"/>
    <x:tableColumn id="8" name="排序位置回复结构"/>
    <x:tableColumn id="9" name="必要脱敏原话或概述"/>
    <x:tableColumn id="10" name="归并状态"/>
    <x:tableColumn id="11" name="来源完整"/>
    <x:tableColumn id="12" name="隐私安全"/>
    <x:tableColumn id="13" name="排除或限制原因"/>
    <x:tableColumn id="14" name="可见互动"/>
    <x:tableColumn id="15" name="顶层或回复"/>
    <x:tableColumn id="16" name="去重判定依据"/>
    <x:tableColumn id="17" name="研究观察计数"/>
    <x:tableColumn id="18" name="累计首见计数"/>
    <x:tableColumn id="19" name="批内首见计数"/>
    <x:tableColumn id="20" name="来源可用"/>
    <x:tableColumn id="21" name="累计可定位数"/>
    <x:tableColumn id="22" name="有效累计计数"/>
    <x:tableColumn id="23" name="有效本批计数"/>
    <x:tableColumn id="24" name="未判重计数"/>
    <x:tableColumn id="25" name="输入关联问题"/>
    <x:tableColumn id="26" name="评论类型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_7" displayName="DataTable_7" ref="A5:N35" headerRowCount="1" totalsRowCount="0" totalsRowShown="0">
  <x:autoFilter ref="A5:N35"/>
  <x:tableColumns count="14">
    <x:tableColumn id="1" name="问题PID"/>
    <x:tableColumn id="2" name="问题类别"/>
    <x:tableColumn id="3" name="目标场景"/>
    <x:tableColumn id="4" name="显性问题"/>
    <x:tableColumn id="5" name="潜在需求推测"/>
    <x:tableColumn id="6" name="反方解释"/>
    <x:tableColumn id="7" name="问题判定"/>
    <x:tableColumn id="8" name="业务匹配"/>
    <x:tableColumn id="9" name="业务事实依据"/>
    <x:tableColumn id="10" name="合并拆分理由"/>
    <x:tableColumn id="11" name="支持评论数"/>
    <x:tableColumn id="12" name="支持笔记数"/>
    <x:tableColumn id="13" name="反例评论数"/>
    <x:tableColumn id="14" name="有效问题类别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_8" displayName="DataTable_8" ref="A5:J205" headerRowCount="1" totalsRowCount="0" totalsRowShown="0">
  <x:autoFilter ref="A5:J205"/>
  <x:tableColumns count="10">
    <x:tableColumn id="1" name="关联LID"/>
    <x:tableColumn id="2" name="问题PID"/>
    <x:tableColumn id="3" name="规范CID"/>
    <x:tableColumn id="4" name="关系"/>
    <x:tableColumn id="5" name="关联依据"/>
    <x:tableColumn id="6" name="来源笔记"/>
    <x:tableColumn id="7" name="有效支持计数"/>
    <x:tableColumn id="8" name="笔记支持首见"/>
    <x:tableColumn id="9" name="反例计数"/>
    <x:tableColumn id="10" name="关联错误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_9" displayName="DataTable_9" ref="A5:W25" headerRowCount="1" totalsRowCount="0" totalsRowShown="0">
  <x:autoFilter ref="A5:W25"/>
  <x:tableColumns count="23">
    <x:tableColumn id="1" name="选题TID"/>
    <x:tableColumn id="2" name="批次BID"/>
    <x:tableColumn id="3" name="主问题PID"/>
    <x:tableColumn id="4" name="核心选题名称"/>
    <x:tableColumn id="5" name="观看对象"/>
    <x:tableColumn id="6" name="本期目标"/>
    <x:tableColumn id="7" name="H1来源"/>
    <x:tableColumn id="8" name="H2业务"/>
    <x:tableColumn id="9" name="H3回答能力"/>
    <x:tableColumn id="10" name="H4可制作"/>
    <x:tableColumn id="11" name="H5风险"/>
    <x:tableColumn id="12" name="当前层级"/>
    <x:tableColumn id="13" name="人工去向"/>
    <x:tableColumn id="14" name="专业审核人或不适用"/>
    <x:tableColumn id="15" name="审核依据"/>
    <x:tableColumn id="16" name="甲方意见"/>
    <x:tableColumn id="17" name="认可版本"/>
    <x:tableColumn id="18" name="关键缺口"/>
    <x:tableColumn id="19" name="当前推荐条件"/>
    <x:tableColumn id="20" name="候选计数"/>
    <x:tableColumn id="21" name="正式推荐计数"/>
    <x:tableColumn id="22" name="甲方认可计数"/>
    <x:tableColumn id="23" name="状态提示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_10" displayName="DataTable_10" ref="A5:J65" headerRowCount="1" totalsRowCount="0" totalsRowShown="0">
  <x:autoFilter ref="A5:J65"/>
  <x:tableColumns count="10">
    <x:tableColumn id="1" name="选题TID"/>
    <x:tableColumn id="2" name="平台"/>
    <x:tableColumn id="3" name="初评状态"/>
    <x:tableColumn id="4" name="具体原因"/>
    <x:tableColumn id="5" name="账号与人群依据"/>
    <x:tableColumn id="6" name="规则来源及日期"/>
    <x:tableColumn id="7" name="资质与商业条件"/>
    <x:tableColumn id="8" name="表达或制作风险"/>
    <x:tableColumn id="9" name="待补资料与负责人"/>
    <x:tableColumn id="10" name="记录完整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_11" displayName="DataTable_11" ref="A5:M25" headerRowCount="1" totalsRowCount="0" totalsRowShown="0">
  <x:autoFilter ref="A5:M25"/>
  <x:tableColumns count="13">
    <x:tableColumn id="1" name="选题TID"/>
    <x:tableColumn id="2" name="为何值得研究"/>
    <x:tableColumn id="3" name="为何适合澜心社"/>
    <x:tableColumn id="4" name="视频核心问题"/>
    <x:tableColumn id="5" name="原创表达形式"/>
    <x:tableColumn id="6" name="必要人员素材条件"/>
    <x:tableColumn id="7" name="优于其他候选理由"/>
    <x:tableColumn id="8" name="最强反方"/>
    <x:tableColumn id="9" name="风险与未确认项"/>
    <x:tableColumn id="10" name="甲方需决定什么"/>
    <x:tableColumn id="11" name="完整底层逻辑说明"/>
    <x:tableColumn id="12" name="人工逻辑复核"/>
    <x:tableColumn id="13" name="说明完整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_12" displayName="DataTable_12" ref="A5:H105" headerRowCount="1" totalsRowCount="0" totalsRowShown="0">
  <x:autoFilter ref="A5:H105"/>
  <x:tableColumns count="8">
    <x:tableColumn id="1" name="证据EID"/>
    <x:tableColumn id="2" name="笔记NID"/>
    <x:tableColumn id="3" name="来源页面"/>
    <x:tableColumn id="4" name="观察时间"/>
    <x:tableColumn id="5" name="保存位置或截图编号"/>
    <x:tableColumn id="6" name="隐私安全"/>
    <x:tableColumn id="7" name="支持对象"/>
    <x:tableColumn id="8" name="定位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4aa2aa15624c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0976f56cf740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f9f19e9ed34a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baf125e8aa44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c10830a4b844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2305ffc55243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aa945806b4c40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9c4fb07e51641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2d946633bb046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71c9a0ae32412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c6194295598473e" /></Relationships>
</file>

<file path=xl/worksheets/sheet1.xml><?xml version="1.0" encoding="utf-8"?>
<x:worksheet xmlns:x="http://schemas.openxmlformats.org/spreadsheetml/2006/main">
  <x:sheetPr>
    <x:tabColor rgb="FF24445B"/>
  </x:sheetPr>
  <x:sheetViews>
    <x:sheetView showGridLines="0" workbookViewId="0"/>
  </x:sheetViews>
  <x:sheetFormatPr defaultRowHeight="15"/>
  <x:cols>
    <x:col min="1" max="1" width="28" hidden="0" customWidth="1"/>
    <x:col min="2" max="2" width="29" hidden="0" customWidth="1"/>
    <x:col min="3" max="3" width="67" hidden="0" customWidth="1"/>
  </x:cols>
  <x:sheetData>
    <x:row r="1">
      <x:c r="A1" s="19"/>
      <x:c r="B1" s="19"/>
      <x:c r="C1" s="19"/>
      <x:c r="D1" s="19"/>
      <x:c r="E1" s="19"/>
      <x:c r="F1" s="19"/>
    </x:row>
    <x:row r="2">
      <x:c r="A2" s="20" t="str">
        <x:v>本轮研究进度与统计</x:v>
      </x:c>
      <x:c r="B2" s="19"/>
      <x:c r="C2" s="19"/>
      <x:c r="D2" s="19"/>
      <x:c r="E2" s="19"/>
      <x:c r="F2" s="19"/>
    </x:row>
    <x:row r="3">
      <x:c r="A3" s="19"/>
      <x:c r="B3" s="19"/>
      <x:c r="C3" s="19"/>
      <x:c r="D3" s="19"/>
      <x:c r="E3" s="19"/>
      <x:c r="F3" s="19"/>
    </x:row>
    <x:row r="4" ht="37" customHeight="1">
      <x:c r="A4" s="24" t="str">
        <x:v>RUN编号</x:v>
      </x:c>
      <x:c r="B4" s="25"/>
      <x:c r="C4" s="24"/>
      <x:c r="D4" s="19"/>
      <x:c r="E4" s="19"/>
      <x:c r="F4" s="19"/>
    </x:row>
    <x:row r="5" ht="37" customHeight="1">
      <x:c r="A5" s="24" t="str">
        <x:v>本轮主主题</x:v>
      </x:c>
      <x:c r="B5" s="25"/>
      <x:c r="C5" s="24"/>
      <x:c r="D5" s="19"/>
      <x:c r="E5" s="19"/>
      <x:c r="F5" s="19"/>
    </x:row>
    <x:row r="6" ht="37" customHeight="1">
      <x:c r="A6" s="24" t="str">
        <x:v>总控复审状态</x:v>
      </x:c>
      <x:c r="B6" s="25"/>
      <x:c r="C6" s="24"/>
      <x:c r="D6" s="19"/>
      <x:c r="E6" s="19"/>
      <x:c r="F6" s="19"/>
    </x:row>
    <x:row r="7" ht="37" customHeight="1">
      <x:c r="A7" s="24" t="str">
        <x:v>研究时间上限 分钟</x:v>
      </x:c>
      <x:c r="B7" s="25" t="n">
        <x:v>180</x:v>
      </x:c>
      <x:c r="C7" s="24"/>
      <x:c r="D7" s="19"/>
      <x:c r="E7" s="19"/>
      <x:c r="F7" s="19"/>
    </x:row>
    <x:row r="8" ht="37" customHeight="1">
      <x:c r="A8" s="24" t="str">
        <x:v>去重可定位评论目标上限</x:v>
      </x:c>
      <x:c r="B8" s="25" t="n">
        <x:v>60</x:v>
      </x:c>
      <x:c r="C8" s="24"/>
      <x:c r="D8" s="19"/>
      <x:c r="E8" s="19"/>
      <x:c r="F8" s="19"/>
    </x:row>
    <x:row r="9" ht="37" customHeight="1">
      <x:c r="A9" s="24"/>
      <x:c r="B9" s="24"/>
      <x:c r="C9" s="24"/>
      <x:c r="D9" s="19"/>
      <x:c r="E9" s="19"/>
      <x:c r="F9" s="19"/>
    </x:row>
    <x:row r="10" ht="37" customHeight="1">
      <x:c r="A10" s="14" t="str">
        <x:v>指标</x:v>
      </x:c>
      <x:c r="B10" s="14" t="str">
        <x:v>当前值</x:v>
      </x:c>
      <x:c r="C10" s="14" t="str">
        <x:v>口径</x:v>
      </x:c>
      <x:c r="D10" s="19"/>
      <x:c r="E10" s="19"/>
      <x:c r="F10" s="19"/>
    </x:row>
    <x:row r="11" ht="37" customHeight="1">
      <x:c r="A11" s="24" t="str">
        <x:v>实际观察评论总次数</x:v>
      </x:c>
      <x:c r="B11" s="24" t="str">
        <x:f>IF(SUM('评论证据'!$Q$6:$Q$205)=0,"未执行",SUM('评论证据'!$Q$6:$Q$205))</x:f>
        <x:v>未执行</x:v>
      </x:c>
      <x:c r="C11" s="24" t="str">
        <x:v>研究范围O行，含重复和排除；不含能力验证</x:v>
      </x:c>
      <x:c r="D11" s="19"/>
      <x:c r="E11" s="19"/>
      <x:c r="F11" s="19"/>
    </x:row>
    <x:row r="12" ht="37" customHeight="1">
      <x:c r="A12" s="24" t="str">
        <x:v>去重评论数D</x:v>
      </x:c>
      <x:c r="B12" s="24" t="str">
        <x:f>IF(SUM('评论证据'!$Q$6:$Q$205)=0,"未执行",SUM('评论证据'!$R$6:$R$205))</x:f>
        <x:v>未执行</x:v>
      </x:c>
      <x:c r="C12" s="24" t="str">
        <x:v>已判定CID，含无有效问题评论</x:v>
      </x:c>
      <x:c r="D12" s="19"/>
      <x:c r="E12" s="19"/>
      <x:c r="F12" s="19"/>
    </x:row>
    <x:row r="13" ht="37" customHeight="1">
      <x:c r="A13" s="24" t="str">
        <x:v>未判重观察数U</x:v>
      </x:c>
      <x:c r="B13" s="24" t="str">
        <x:f>IF(SUM('评论证据'!$Q$6:$Q$205)=0,"未执行",SUM('评论证据'!$X$6:$X$205))</x:f>
        <x:v>未执行</x:v>
      </x:c>
      <x:c r="C13" s="24" t="str">
        <x:v>不能安全判重或归并待核，单列不隐藏</x:v>
      </x:c>
      <x:c r="D13" s="19"/>
      <x:c r="E13" s="19"/>
      <x:c r="F13" s="19"/>
    </x:row>
    <x:row r="14" ht="37" customHeight="1">
      <x:c r="A14" s="24" t="str">
        <x:v>可定位去重评论数</x:v>
      </x:c>
      <x:c r="B14" s="24" t="str">
        <x:f>IF(SUM('评论证据'!$Q$6:$Q$205)=0,"未执行",SUM('评论证据'!$U$6:$U$205))</x:f>
        <x:v>未执行</x:v>
      </x:c>
      <x:c r="C14" s="24" t="str">
        <x:v>来源与隐私合格，40—60目标口径</x:v>
      </x:c>
      <x:c r="D14" s="19"/>
      <x:c r="E14" s="19"/>
      <x:c r="F14" s="19"/>
    </x:row>
    <x:row r="15" ht="37" customHeight="1">
      <x:c r="A15" s="24" t="str">
        <x:v>有效问题评论数V</x:v>
      </x:c>
      <x:c r="B15" s="24" t="str">
        <x:f>IF(SUM('评论证据'!$Q$6:$Q$205)=0,"未执行",SUM('评论证据'!$V$6:$V$205))</x:f>
        <x:v>未执行</x:v>
      </x:c>
      <x:c r="C15" s="24" t="str">
        <x:v>至少支持一个有效问题的CID，多标签只计一次</x:v>
      </x:c>
      <x:c r="D15" s="19"/>
      <x:c r="E15" s="19"/>
      <x:c r="F15" s="19"/>
    </x:row>
    <x:row r="16" ht="37" customHeight="1">
      <x:c r="A16" s="24" t="str">
        <x:v>有效问题评论占比</x:v>
      </x:c>
      <x:c r="B16" s="26" t="str">
        <x:f>IF(SUM('评论证据'!$Q$6:$Q$205)=0,"未执行",IF(B12=0,"不适用",B15/B12))</x:f>
        <x:v>未执行</x:v>
      </x:c>
      <x:c r="C16" s="24" t="str">
        <x:v>V÷D，仅本轮已判定子样本效率</x:v>
      </x:c>
      <x:c r="D16" s="19"/>
      <x:c r="E16" s="19"/>
      <x:c r="F16" s="19"/>
    </x:row>
    <x:row r="17" ht="37" customHeight="1">
      <x:c r="A17" s="24" t="str">
        <x:v>有效问题类别数</x:v>
      </x:c>
      <x:c r="B17" s="24" t="str">
        <x:f>IF(SUM('评论证据'!$Q$6:$Q$205)=0,"未执行",SUM('问题归类'!$N$6:$N$35))</x:f>
        <x:v>未执行</x:v>
      </x:c>
      <x:c r="C17" s="24" t="str">
        <x:v>有有效支持的PID，不是问题词条数量</x:v>
      </x:c>
      <x:c r="D17" s="19"/>
      <x:c r="E17" s="19"/>
      <x:c r="F17" s="19"/>
    </x:row>
    <x:row r="18" ht="37" customHeight="1">
      <x:c r="A18" s="24" t="str">
        <x:v>候选选题数</x:v>
      </x:c>
      <x:c r="B18" s="24" t="str">
        <x:f>IF(SUM('评论证据'!$Q$6:$Q$205)=0,"未执行",SUM('选题判断'!$T$6:$T$25))</x:f>
        <x:v>未执行</x:v>
      </x:c>
      <x:c r="C18" s="24" t="str">
        <x:v>不同TID，含探索、暂缓、排除</x:v>
      </x:c>
      <x:c r="D18" s="19"/>
      <x:c r="E18" s="19"/>
      <x:c r="F18" s="19"/>
    </x:row>
    <x:row r="19" ht="37" customHeight="1">
      <x:c r="A19" s="24" t="str">
        <x:v>正式推荐数</x:v>
      </x:c>
      <x:c r="B19" s="24" t="str">
        <x:f>IF(SUM('评论证据'!$Q$6:$Q$205)=0,"未执行",SUM('选题判断'!$U$6:$U$25))</x:f>
        <x:v>未执行</x:v>
      </x:c>
      <x:c r="C19" s="24" t="str">
        <x:v>当前门槛、完整理由及逐平台记录齐全，人工标推荐</x:v>
      </x:c>
      <x:c r="D19" s="19"/>
      <x:c r="E19" s="19"/>
      <x:c r="F19" s="19"/>
    </x:row>
    <x:row r="20" ht="37" customHeight="1">
      <x:c r="A20" s="24" t="str">
        <x:v>甲方认可数</x:v>
      </x:c>
      <x:c r="B20" s="24" t="str">
        <x:f>IF(SUM('评论证据'!$Q$6:$Q$205)=0,"未执行",SUM('选题判断'!$V$6:$V$25))</x:f>
        <x:v>未执行</x:v>
      </x:c>
      <x:c r="C20" s="24" t="str">
        <x:v>明确认可具体版本的正式推荐，不是AI评分</x:v>
      </x:c>
      <x:c r="D20" s="19"/>
      <x:c r="E20" s="19"/>
      <x:c r="F20" s="19"/>
    </x:row>
    <x:row r="21" ht="37" customHeight="1">
      <x:c r="A21" s="24" t="str">
        <x:v>有效问题类别支持合计</x:v>
      </x:c>
      <x:c r="B21" s="24" t="str">
        <x:f>IF(SUM('评论证据'!$Q$6:$Q$205)=0,"未执行",SUM('问题归类'!$K$6:$K$35))</x:f>
        <x:v>未执行</x:v>
      </x:c>
      <x:c r="C21" s="24" t="str">
        <x:v>多标签可能大于V，不作为人数</x:v>
      </x:c>
      <x:c r="D21" s="19"/>
      <x:c r="E21" s="19"/>
      <x:c r="F21" s="19"/>
    </x:row>
    <x:row r="22" ht="37" customHeight="1">
      <x:c r="A22" s="24" t="str">
        <x:v>笔记研究数</x:v>
      </x:c>
      <x:c r="B22" s="24" t="str">
        <x:f>IF(SUM('评论证据'!$Q$6:$Q$205)=0,"未执行",COUNTIF('笔记筛选'!$M$6:$M$35,"已研究"))</x:f>
        <x:v>未执行</x:v>
      </x:c>
      <x:c r="C22" s="24" t="str">
        <x:v>已研究的笔记行，编号须唯一</x:v>
      </x:c>
      <x:c r="D22" s="19"/>
      <x:c r="E22" s="19"/>
      <x:c r="F22" s="19"/>
    </x:row>
    <x:row r="23" ht="37" customHeight="1">
      <x:c r="A23" s="24" t="str">
        <x:v>实际使用账号数</x:v>
      </x:c>
      <x:c r="B23" s="24" t="str">
        <x:f>IF(SUM('评论证据'!$Q$6:$Q$205)=0,"未执行",COUNTIF('账号筛选'!$Q$6:$Q$25,"实际使用"))</x:f>
        <x:v>未执行</x:v>
      </x:c>
      <x:c r="C23" s="24" t="str">
        <x:v>有已研究笔记的账号，不是发现账号数</x:v>
      </x:c>
      <x:c r="D23" s="19"/>
      <x:c r="E23" s="19"/>
      <x:c r="F23" s="19"/>
    </x:row>
    <x:row r="24" ht="37" customHeight="1">
      <x:c r="A24" s="24" t="str">
        <x:v>研究实际分钟</x:v>
      </x:c>
      <x:c r="B24" s="24" t="str">
        <x:f>IF(SUMPRODUCT(ISNUMBER('批次记录'!$J$6:$J$17)*(('批次记录'!$B$6:$B$17="B2试取样")+('批次记录'!$B$6:$B$17="B3正式研究")))=0,"待记录",SUMIFS('批次记录'!$J$6:$J$17,'批次记录'!$B$6:$B$17,"B2试取样")+SUMIFS('批次记录'!$J$6:$J$17,'批次记录'!$B$6:$B$17,"B3正式研究"))</x:f>
        <x:v>待记录</x:v>
      </x:c>
      <x:c r="C24" s="24" t="str">
        <x:v>B2与B3已填实际分钟合计；空白不是0分钟</x:v>
      </x:c>
      <x:c r="D24" s="19"/>
      <x:c r="E24" s="19"/>
      <x:c r="F24" s="19"/>
    </x:row>
    <x:row r="25" ht="37" customHeight="1">
      <x:c r="A25" s="24" t="str">
        <x:v>数据范围状态</x:v>
      </x:c>
      <x:c r="B25" s="24" t="str">
        <x:f>IF(B11="未执行","未执行",IF(B13&gt;0,"部分去重，须披露U","已判定去重范围"))</x:f>
        <x:v>未执行</x:v>
      </x:c>
      <x:c r="C25" s="24" t="str">
        <x:v>U&gt;0时不能宣称全部观察已完成去重</x:v>
      </x:c>
      <x:c r="D25" s="19"/>
      <x:c r="E25" s="19"/>
      <x:c r="F25" s="19"/>
    </x:row>
    <x:row r="26" ht="37" customHeight="1">
      <x:c r="A26" s="24" t="str">
        <x:v>样本目标状态</x:v>
      </x:c>
      <x:c r="B26" s="24" t="str">
        <x:f>IF(AND(ISNUMBER(B24),B24&gt;=B7),"到研究时间上限",IF(B11="未执行","未执行",IF(B14&gt;=B8,"到可定位目标上限",IF(B11&gt;=100,"到观察上限","仍须核各批预算"))))</x:f>
        <x:v>未执行</x:v>
      </x:c>
      <x:c r="C26" s="24" t="str">
        <x:v>目标和预算只为Demo控制，不保证合格选题</x:v>
      </x:c>
      <x:c r="D26" s="19"/>
      <x:c r="E26" s="19"/>
      <x:c r="F26" s="19"/>
    </x:row>
    <x:row r="27" ht="37" customHeight="1">
      <x:c r="A27" s="24" t="str">
        <x:v>推荐含义</x:v>
      </x:c>
      <x:c r="B27" s="24" t="str">
        <x:v>研究建议</x:v>
      </x:c>
      <x:c r="C27" s="24" t="str">
        <x:v>不等于已制作、可发布或甲方认可</x:v>
      </x:c>
      <x:c r="D27" s="19"/>
      <x:c r="E27" s="19"/>
      <x:c r="F27" s="19"/>
    </x:row>
    <x:row r="28" ht="58" customHeight="1">
      <x:c r="A28" s="24" t="str">
        <x:v>填写顺序</x:v>
      </x:c>
      <x:c r="B28" s="24" t="str">
        <x:v>批次→搜索→账号/笔记→证据/评论→问题/关联→选题/理由/平台</x:v>
      </x:c>
      <x:c r="C28" s="24" t="str">
        <x:v>业务事实与专业判断由人工确认</x:v>
      </x:c>
      <x:c r="D28" s="19"/>
      <x:c r="E28" s="19"/>
      <x:c r="F28" s="19"/>
    </x:row>
    <x:row r="29" ht="58" customHeight="1">
      <x:c r="A29" s="24" t="str">
        <x:v>预算说明</x:v>
      </x:c>
      <x:c r="B29" s="24" t="str">
        <x:v>预设参数可在启动前修改</x:v>
      </x:c>
      <x:c r="C29" s="24" t="str">
        <x:v>工作簿不会自动启动浏览器或计时，停止线由执行者遵守</x:v>
      </x:c>
      <x:c r="D29" s="19"/>
      <x:c r="E29" s="19"/>
      <x:c r="F29" s="19"/>
    </x:row>
    <x:row r="30">
      <x:c r="A30" s="19"/>
      <x:c r="B30" s="19"/>
      <x:c r="C30" s="19"/>
      <x:c r="D30" s="19"/>
      <x:c r="E30" s="19"/>
      <x:c r="F30" s="19"/>
    </x:row>
    <x:row r="31">
      <x:c r="A31" s="19"/>
      <x:c r="B31" s="19"/>
      <x:c r="C31" s="19"/>
      <x:c r="D31" s="19"/>
      <x:c r="E31" s="19"/>
      <x:c r="F31" s="19"/>
    </x:row>
    <x:row r="32">
      <x:c r="A32" s="19"/>
      <x:c r="B32" s="19"/>
      <x:c r="C32" s="19"/>
      <x:c r="D32" s="19"/>
      <x:c r="E32" s="19"/>
      <x:c r="F32" s="19"/>
    </x:row>
    <x:row r="33">
      <x:c r="A33" s="19"/>
      <x:c r="B33" s="19"/>
      <x:c r="C33" s="19"/>
      <x:c r="D33" s="19"/>
      <x:c r="E33" s="19"/>
      <x:c r="F33" s="19"/>
    </x:row>
    <x:row r="34">
      <x:c r="A34" s="19"/>
      <x:c r="B34" s="19"/>
      <x:c r="C34" s="19"/>
      <x:c r="D34" s="19"/>
      <x:c r="E34" s="19"/>
      <x:c r="F34" s="19"/>
    </x:row>
    <x:row r="35">
      <x:c r="A35" s="19"/>
      <x:c r="B35" s="19"/>
      <x:c r="C35" s="19"/>
      <x:c r="D35" s="19"/>
      <x:c r="E35" s="19"/>
      <x:c r="F35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</x:row>
    <x:row r="2">
      <x:c r="A2" s="2" t="str">
        <x:v>批次记录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</x:row>
    <x:row r="5" ht="42" customHeight="1">
      <x:c r="A5" s="8" t="str">
        <x:v>批次BID</x:v>
      </x:c>
      <x:c r="B5" s="8" t="str">
        <x:v>批次阶段</x:v>
      </x:c>
      <x:c r="C5" s="8" t="str">
        <x:v>主主题</x:v>
      </x:c>
      <x:c r="D5" s="8" t="str">
        <x:v>发现路线</x:v>
      </x:c>
      <x:c r="E5" s="8" t="str">
        <x:v>两类来源</x:v>
      </x:c>
      <x:c r="F5" s="8" t="str">
        <x:v>授权日期</x:v>
      </x:c>
      <x:c r="G5" s="8" t="str">
        <x:v>分钟上限</x:v>
      </x:c>
      <x:c r="H5" s="8" t="str">
        <x:v>开始时间</x:v>
      </x:c>
      <x:c r="I5" s="8" t="str">
        <x:v>结束时间</x:v>
      </x:c>
      <x:c r="J5" s="8" t="str">
        <x:v>实际分钟</x:v>
      </x:c>
      <x:c r="K5" s="8" t="str">
        <x:v>运行状态</x:v>
      </x:c>
      <x:c r="L5" s="8" t="str">
        <x:v>停止原因</x:v>
      </x:c>
      <x:c r="M5" s="8" t="str">
        <x:v>复审人</x:v>
      </x:c>
      <x:c r="N5" s="8" t="str">
        <x:v>下一批授权</x:v>
      </x:c>
      <x:c r="O5" s="8" t="str">
        <x:v>观察次数</x:v>
      </x:c>
      <x:c r="P5" s="8" t="str">
        <x:v>本批去重</x:v>
      </x:c>
      <x:c r="Q5" s="8" t="str">
        <x:v>本批新增</x:v>
      </x:c>
      <x:c r="R5" s="8" t="str">
        <x:v>有效问题评论</x:v>
      </x:c>
      <x:c r="S5" s="8" t="str">
        <x:v>有效占比</x:v>
      </x:c>
      <x:c r="T5" s="14" t="str">
        <x:v>预算状态</x:v>
      </x:c>
    </x:row>
    <x:row r="6" ht="36" customHeight="1">
      <x:c r="A6" s="11"/>
      <x:c r="B6" s="11"/>
      <x:c r="C6" s="11"/>
      <x:c r="D6" s="11"/>
      <x:c r="E6" s="11"/>
      <x:c r="F6" s="17"/>
      <x:c r="G6" s="11"/>
      <x:c r="H6" s="17"/>
      <x:c r="I6" s="17"/>
      <x:c r="J6" s="11"/>
      <x:c r="K6" s="11"/>
      <x:c r="L6" s="11"/>
      <x:c r="M6" s="11"/>
      <x:c r="N6" s="11"/>
      <x:c r="O6" s="16" t="str">
        <x:f>IF(A6="","",SUMIFS('评论证据'!$Q$6:$Q$205,'评论证据'!$B$6:$B$205,A6))</x:f>
      </x:c>
      <x:c r="P6" s="16" t="str">
        <x:f>IF(A6="","",SUMIFS('评论证据'!$S$6:$S$205,'评论证据'!$B$6:$B$205,A6))</x:f>
      </x:c>
      <x:c r="Q6" s="16" t="str">
        <x:f>IF(A6="","",SUMIFS('评论证据'!$R$6:$R$205,'评论证据'!$B$6:$B$205,A6))</x:f>
      </x:c>
      <x:c r="R6" s="16" t="str">
        <x:f>IF(A6="","",SUMIFS('评论证据'!$W$6:$W$205,'评论证据'!$B$6:$B$205,A6))</x:f>
      </x:c>
      <x:c r="S6" s="18" t="str">
        <x:f>IF(A6="","",IF(O6=0,"未执行",IF(P6=0,"不适用",R6/P6)))</x:f>
      </x:c>
      <x:c r="T6" s="15" t="str">
        <x:f>IF(A6="","",IF(OR(G6="",J6=""),"待记录预算或耗时",IF(J6&gt;=G6,"到时停止","预算内")))</x:f>
      </x:c>
    </x:row>
    <x:row r="7" ht="36" customHeight="1">
      <x:c r="A7" s="11"/>
      <x:c r="B7" s="11"/>
      <x:c r="C7" s="11"/>
      <x:c r="D7" s="11"/>
      <x:c r="E7" s="11"/>
      <x:c r="F7" s="17"/>
      <x:c r="G7" s="11"/>
      <x:c r="H7" s="17"/>
      <x:c r="I7" s="17"/>
      <x:c r="J7" s="11"/>
      <x:c r="K7" s="11"/>
      <x:c r="L7" s="11"/>
      <x:c r="M7" s="11"/>
      <x:c r="N7" s="11"/>
      <x:c r="O7" s="16" t="str">
        <x:f>IF(A7="","",SUMIFS('评论证据'!$Q$6:$Q$205,'评论证据'!$B$6:$B$205,A7))</x:f>
      </x:c>
      <x:c r="P7" s="16" t="str">
        <x:f>IF(A7="","",SUMIFS('评论证据'!$S$6:$S$205,'评论证据'!$B$6:$B$205,A7))</x:f>
      </x:c>
      <x:c r="Q7" s="16" t="str">
        <x:f>IF(A7="","",SUMIFS('评论证据'!$R$6:$R$205,'评论证据'!$B$6:$B$205,A7))</x:f>
      </x:c>
      <x:c r="R7" s="16" t="str">
        <x:f>IF(A7="","",SUMIFS('评论证据'!$W$6:$W$205,'评论证据'!$B$6:$B$205,A7))</x:f>
      </x:c>
      <x:c r="S7" s="18" t="str">
        <x:f>IF(A7="","",IF(O7=0,"未执行",IF(P7=0,"不适用",R7/P7)))</x:f>
      </x:c>
      <x:c r="T7" s="15" t="str">
        <x:f>IF(A7="","",IF(OR(G7="",J7=""),"待记录预算或耗时",IF(J7&gt;=G7,"到时停止","预算内")))</x:f>
      </x:c>
    </x:row>
    <x:row r="8" ht="36" customHeight="1">
      <x:c r="A8" s="11"/>
      <x:c r="B8" s="11"/>
      <x:c r="C8" s="11"/>
      <x:c r="D8" s="11"/>
      <x:c r="E8" s="11"/>
      <x:c r="F8" s="17"/>
      <x:c r="G8" s="11"/>
      <x:c r="H8" s="17"/>
      <x:c r="I8" s="17"/>
      <x:c r="J8" s="11"/>
      <x:c r="K8" s="11"/>
      <x:c r="L8" s="11"/>
      <x:c r="M8" s="11"/>
      <x:c r="N8" s="11"/>
      <x:c r="O8" s="16" t="str">
        <x:f>IF(A8="","",SUMIFS('评论证据'!$Q$6:$Q$205,'评论证据'!$B$6:$B$205,A8))</x:f>
      </x:c>
      <x:c r="P8" s="16" t="str">
        <x:f>IF(A8="","",SUMIFS('评论证据'!$S$6:$S$205,'评论证据'!$B$6:$B$205,A8))</x:f>
      </x:c>
      <x:c r="Q8" s="16" t="str">
        <x:f>IF(A8="","",SUMIFS('评论证据'!$R$6:$R$205,'评论证据'!$B$6:$B$205,A8))</x:f>
      </x:c>
      <x:c r="R8" s="16" t="str">
        <x:f>IF(A8="","",SUMIFS('评论证据'!$W$6:$W$205,'评论证据'!$B$6:$B$205,A8))</x:f>
      </x:c>
      <x:c r="S8" s="18" t="str">
        <x:f>IF(A8="","",IF(O8=0,"未执行",IF(P8=0,"不适用",R8/P8)))</x:f>
      </x:c>
      <x:c r="T8" s="15" t="str">
        <x:f>IF(A8="","",IF(OR(G8="",J8=""),"待记录预算或耗时",IF(J8&gt;=G8,"到时停止","预算内")))</x:f>
      </x:c>
    </x:row>
    <x:row r="9" ht="36" customHeight="1">
      <x:c r="A9" s="11"/>
      <x:c r="B9" s="11"/>
      <x:c r="C9" s="11"/>
      <x:c r="D9" s="11"/>
      <x:c r="E9" s="11"/>
      <x:c r="F9" s="17"/>
      <x:c r="G9" s="11"/>
      <x:c r="H9" s="17"/>
      <x:c r="I9" s="17"/>
      <x:c r="J9" s="11"/>
      <x:c r="K9" s="11"/>
      <x:c r="L9" s="11"/>
      <x:c r="M9" s="11"/>
      <x:c r="N9" s="11"/>
      <x:c r="O9" s="16" t="str">
        <x:f>IF(A9="","",SUMIFS('评论证据'!$Q$6:$Q$205,'评论证据'!$B$6:$B$205,A9))</x:f>
      </x:c>
      <x:c r="P9" s="16" t="str">
        <x:f>IF(A9="","",SUMIFS('评论证据'!$S$6:$S$205,'评论证据'!$B$6:$B$205,A9))</x:f>
      </x:c>
      <x:c r="Q9" s="16" t="str">
        <x:f>IF(A9="","",SUMIFS('评论证据'!$R$6:$R$205,'评论证据'!$B$6:$B$205,A9))</x:f>
      </x:c>
      <x:c r="R9" s="16" t="str">
        <x:f>IF(A9="","",SUMIFS('评论证据'!$W$6:$W$205,'评论证据'!$B$6:$B$205,A9))</x:f>
      </x:c>
      <x:c r="S9" s="18" t="str">
        <x:f>IF(A9="","",IF(O9=0,"未执行",IF(P9=0,"不适用",R9/P9)))</x:f>
      </x:c>
      <x:c r="T9" s="15" t="str">
        <x:f>IF(A9="","",IF(OR(G9="",J9=""),"待记录预算或耗时",IF(J9&gt;=G9,"到时停止","预算内")))</x:f>
      </x:c>
    </x:row>
    <x:row r="10" ht="36" customHeight="1">
      <x:c r="A10" s="11"/>
      <x:c r="B10" s="11"/>
      <x:c r="C10" s="11"/>
      <x:c r="D10" s="11"/>
      <x:c r="E10" s="11"/>
      <x:c r="F10" s="17"/>
      <x:c r="G10" s="11"/>
      <x:c r="H10" s="17"/>
      <x:c r="I10" s="17"/>
      <x:c r="J10" s="11"/>
      <x:c r="K10" s="11"/>
      <x:c r="L10" s="11"/>
      <x:c r="M10" s="11"/>
      <x:c r="N10" s="11"/>
      <x:c r="O10" s="16" t="str">
        <x:f>IF(A10="","",SUMIFS('评论证据'!$Q$6:$Q$205,'评论证据'!$B$6:$B$205,A10))</x:f>
      </x:c>
      <x:c r="P10" s="16" t="str">
        <x:f>IF(A10="","",SUMIFS('评论证据'!$S$6:$S$205,'评论证据'!$B$6:$B$205,A10))</x:f>
      </x:c>
      <x:c r="Q10" s="16" t="str">
        <x:f>IF(A10="","",SUMIFS('评论证据'!$R$6:$R$205,'评论证据'!$B$6:$B$205,A10))</x:f>
      </x:c>
      <x:c r="R10" s="16" t="str">
        <x:f>IF(A10="","",SUMIFS('评论证据'!$W$6:$W$205,'评论证据'!$B$6:$B$205,A10))</x:f>
      </x:c>
      <x:c r="S10" s="18" t="str">
        <x:f>IF(A10="","",IF(O10=0,"未执行",IF(P10=0,"不适用",R10/P10)))</x:f>
      </x:c>
      <x:c r="T10" s="15" t="str">
        <x:f>IF(A10="","",IF(OR(G10="",J10=""),"待记录预算或耗时",IF(J10&gt;=G10,"到时停止","预算内")))</x:f>
      </x:c>
    </x:row>
    <x:row r="11" ht="36" customHeight="1">
      <x:c r="A11" s="11"/>
      <x:c r="B11" s="11"/>
      <x:c r="C11" s="11"/>
      <x:c r="D11" s="11"/>
      <x:c r="E11" s="11"/>
      <x:c r="F11" s="17"/>
      <x:c r="G11" s="11"/>
      <x:c r="H11" s="17"/>
      <x:c r="I11" s="17"/>
      <x:c r="J11" s="11"/>
      <x:c r="K11" s="11"/>
      <x:c r="L11" s="11"/>
      <x:c r="M11" s="11"/>
      <x:c r="N11" s="11"/>
      <x:c r="O11" s="16" t="str">
        <x:f>IF(A11="","",SUMIFS('评论证据'!$Q$6:$Q$205,'评论证据'!$B$6:$B$205,A11))</x:f>
      </x:c>
      <x:c r="P11" s="16" t="str">
        <x:f>IF(A11="","",SUMIFS('评论证据'!$S$6:$S$205,'评论证据'!$B$6:$B$205,A11))</x:f>
      </x:c>
      <x:c r="Q11" s="16" t="str">
        <x:f>IF(A11="","",SUMIFS('评论证据'!$R$6:$R$205,'评论证据'!$B$6:$B$205,A11))</x:f>
      </x:c>
      <x:c r="R11" s="16" t="str">
        <x:f>IF(A11="","",SUMIFS('评论证据'!$W$6:$W$205,'评论证据'!$B$6:$B$205,A11))</x:f>
      </x:c>
      <x:c r="S11" s="18" t="str">
        <x:f>IF(A11="","",IF(O11=0,"未执行",IF(P11=0,"不适用",R11/P11)))</x:f>
      </x:c>
      <x:c r="T11" s="15" t="str">
        <x:f>IF(A11="","",IF(OR(G11="",J11=""),"待记录预算或耗时",IF(J11&gt;=G11,"到时停止","预算内")))</x:f>
      </x:c>
    </x:row>
    <x:row r="12" ht="36" customHeight="1">
      <x:c r="A12" s="11"/>
      <x:c r="B12" s="11"/>
      <x:c r="C12" s="11"/>
      <x:c r="D12" s="11"/>
      <x:c r="E12" s="11"/>
      <x:c r="F12" s="17"/>
      <x:c r="G12" s="11"/>
      <x:c r="H12" s="17"/>
      <x:c r="I12" s="17"/>
      <x:c r="J12" s="11"/>
      <x:c r="K12" s="11"/>
      <x:c r="L12" s="11"/>
      <x:c r="M12" s="11"/>
      <x:c r="N12" s="11"/>
      <x:c r="O12" s="16" t="str">
        <x:f>IF(A12="","",SUMIFS('评论证据'!$Q$6:$Q$205,'评论证据'!$B$6:$B$205,A12))</x:f>
      </x:c>
      <x:c r="P12" s="16" t="str">
        <x:f>IF(A12="","",SUMIFS('评论证据'!$S$6:$S$205,'评论证据'!$B$6:$B$205,A12))</x:f>
      </x:c>
      <x:c r="Q12" s="16" t="str">
        <x:f>IF(A12="","",SUMIFS('评论证据'!$R$6:$R$205,'评论证据'!$B$6:$B$205,A12))</x:f>
      </x:c>
      <x:c r="R12" s="16" t="str">
        <x:f>IF(A12="","",SUMIFS('评论证据'!$W$6:$W$205,'评论证据'!$B$6:$B$205,A12))</x:f>
      </x:c>
      <x:c r="S12" s="18" t="str">
        <x:f>IF(A12="","",IF(O12=0,"未执行",IF(P12=0,"不适用",R12/P12)))</x:f>
      </x:c>
      <x:c r="T12" s="15" t="str">
        <x:f>IF(A12="","",IF(OR(G12="",J12=""),"待记录预算或耗时",IF(J12&gt;=G12,"到时停止","预算内")))</x:f>
      </x:c>
    </x:row>
    <x:row r="13" ht="36" customHeight="1">
      <x:c r="A13" s="11"/>
      <x:c r="B13" s="11"/>
      <x:c r="C13" s="11"/>
      <x:c r="D13" s="11"/>
      <x:c r="E13" s="11"/>
      <x:c r="F13" s="17"/>
      <x:c r="G13" s="11"/>
      <x:c r="H13" s="17"/>
      <x:c r="I13" s="17"/>
      <x:c r="J13" s="11"/>
      <x:c r="K13" s="11"/>
      <x:c r="L13" s="11"/>
      <x:c r="M13" s="11"/>
      <x:c r="N13" s="11"/>
      <x:c r="O13" s="16" t="str">
        <x:f>IF(A13="","",SUMIFS('评论证据'!$Q$6:$Q$205,'评论证据'!$B$6:$B$205,A13))</x:f>
      </x:c>
      <x:c r="P13" s="16" t="str">
        <x:f>IF(A13="","",SUMIFS('评论证据'!$S$6:$S$205,'评论证据'!$B$6:$B$205,A13))</x:f>
      </x:c>
      <x:c r="Q13" s="16" t="str">
        <x:f>IF(A13="","",SUMIFS('评论证据'!$R$6:$R$205,'评论证据'!$B$6:$B$205,A13))</x:f>
      </x:c>
      <x:c r="R13" s="16" t="str">
        <x:f>IF(A13="","",SUMIFS('评论证据'!$W$6:$W$205,'评论证据'!$B$6:$B$205,A13))</x:f>
      </x:c>
      <x:c r="S13" s="18" t="str">
        <x:f>IF(A13="","",IF(O13=0,"未执行",IF(P13=0,"不适用",R13/P13)))</x:f>
      </x:c>
      <x:c r="T13" s="15" t="str">
        <x:f>IF(A13="","",IF(OR(G13="",J13=""),"待记录预算或耗时",IF(J13&gt;=G13,"到时停止","预算内")))</x:f>
      </x:c>
    </x:row>
    <x:row r="14" ht="36" customHeight="1">
      <x:c r="A14" s="11"/>
      <x:c r="B14" s="11"/>
      <x:c r="C14" s="11"/>
      <x:c r="D14" s="11"/>
      <x:c r="E14" s="11"/>
      <x:c r="F14" s="17"/>
      <x:c r="G14" s="11"/>
      <x:c r="H14" s="17"/>
      <x:c r="I14" s="17"/>
      <x:c r="J14" s="11"/>
      <x:c r="K14" s="11"/>
      <x:c r="L14" s="11"/>
      <x:c r="M14" s="11"/>
      <x:c r="N14" s="11"/>
      <x:c r="O14" s="16" t="str">
        <x:f>IF(A14="","",SUMIFS('评论证据'!$Q$6:$Q$205,'评论证据'!$B$6:$B$205,A14))</x:f>
      </x:c>
      <x:c r="P14" s="16" t="str">
        <x:f>IF(A14="","",SUMIFS('评论证据'!$S$6:$S$205,'评论证据'!$B$6:$B$205,A14))</x:f>
      </x:c>
      <x:c r="Q14" s="16" t="str">
        <x:f>IF(A14="","",SUMIFS('评论证据'!$R$6:$R$205,'评论证据'!$B$6:$B$205,A14))</x:f>
      </x:c>
      <x:c r="R14" s="16" t="str">
        <x:f>IF(A14="","",SUMIFS('评论证据'!$W$6:$W$205,'评论证据'!$B$6:$B$205,A14))</x:f>
      </x:c>
      <x:c r="S14" s="18" t="str">
        <x:f>IF(A14="","",IF(O14=0,"未执行",IF(P14=0,"不适用",R14/P14)))</x:f>
      </x:c>
      <x:c r="T14" s="15" t="str">
        <x:f>IF(A14="","",IF(OR(G14="",J14=""),"待记录预算或耗时",IF(J14&gt;=G14,"到时停止","预算内")))</x:f>
      </x:c>
    </x:row>
    <x:row r="15" ht="36" customHeight="1">
      <x:c r="A15" s="11"/>
      <x:c r="B15" s="11"/>
      <x:c r="C15" s="11"/>
      <x:c r="D15" s="11"/>
      <x:c r="E15" s="11"/>
      <x:c r="F15" s="17"/>
      <x:c r="G15" s="11"/>
      <x:c r="H15" s="17"/>
      <x:c r="I15" s="17"/>
      <x:c r="J15" s="11"/>
      <x:c r="K15" s="11"/>
      <x:c r="L15" s="11"/>
      <x:c r="M15" s="11"/>
      <x:c r="N15" s="11"/>
      <x:c r="O15" s="16" t="str">
        <x:f>IF(A15="","",SUMIFS('评论证据'!$Q$6:$Q$205,'评论证据'!$B$6:$B$205,A15))</x:f>
      </x:c>
      <x:c r="P15" s="16" t="str">
        <x:f>IF(A15="","",SUMIFS('评论证据'!$S$6:$S$205,'评论证据'!$B$6:$B$205,A15))</x:f>
      </x:c>
      <x:c r="Q15" s="16" t="str">
        <x:f>IF(A15="","",SUMIFS('评论证据'!$R$6:$R$205,'评论证据'!$B$6:$B$205,A15))</x:f>
      </x:c>
      <x:c r="R15" s="16" t="str">
        <x:f>IF(A15="","",SUMIFS('评论证据'!$W$6:$W$205,'评论证据'!$B$6:$B$205,A15))</x:f>
      </x:c>
      <x:c r="S15" s="18" t="str">
        <x:f>IF(A15="","",IF(O15=0,"未执行",IF(P15=0,"不适用",R15/P15)))</x:f>
      </x:c>
      <x:c r="T15" s="15" t="str">
        <x:f>IF(A15="","",IF(OR(G15="",J15=""),"待记录预算或耗时",IF(J15&gt;=G15,"到时停止","预算内")))</x:f>
      </x:c>
    </x:row>
    <x:row r="16" ht="36" customHeight="1">
      <x:c r="A16" s="11"/>
      <x:c r="B16" s="11"/>
      <x:c r="C16" s="11"/>
      <x:c r="D16" s="11"/>
      <x:c r="E16" s="11"/>
      <x:c r="F16" s="17"/>
      <x:c r="G16" s="11"/>
      <x:c r="H16" s="17"/>
      <x:c r="I16" s="17"/>
      <x:c r="J16" s="11"/>
      <x:c r="K16" s="11"/>
      <x:c r="L16" s="11"/>
      <x:c r="M16" s="11"/>
      <x:c r="N16" s="11"/>
      <x:c r="O16" s="16" t="str">
        <x:f>IF(A16="","",SUMIFS('评论证据'!$Q$6:$Q$205,'评论证据'!$B$6:$B$205,A16))</x:f>
      </x:c>
      <x:c r="P16" s="16" t="str">
        <x:f>IF(A16="","",SUMIFS('评论证据'!$S$6:$S$205,'评论证据'!$B$6:$B$205,A16))</x:f>
      </x:c>
      <x:c r="Q16" s="16" t="str">
        <x:f>IF(A16="","",SUMIFS('评论证据'!$R$6:$R$205,'评论证据'!$B$6:$B$205,A16))</x:f>
      </x:c>
      <x:c r="R16" s="16" t="str">
        <x:f>IF(A16="","",SUMIFS('评论证据'!$W$6:$W$205,'评论证据'!$B$6:$B$205,A16))</x:f>
      </x:c>
      <x:c r="S16" s="18" t="str">
        <x:f>IF(A16="","",IF(O16=0,"未执行",IF(P16=0,"不适用",R16/P16)))</x:f>
      </x:c>
      <x:c r="T16" s="15" t="str">
        <x:f>IF(A16="","",IF(OR(G16="",J16=""),"待记录预算或耗时",IF(J16&gt;=G16,"到时停止","预算内")))</x:f>
      </x:c>
    </x:row>
    <x:row r="17" ht="36" customHeight="1">
      <x:c r="A17" s="11"/>
      <x:c r="B17" s="11"/>
      <x:c r="C17" s="11"/>
      <x:c r="D17" s="11"/>
      <x:c r="E17" s="11"/>
      <x:c r="F17" s="17"/>
      <x:c r="G17" s="11"/>
      <x:c r="H17" s="17"/>
      <x:c r="I17" s="17"/>
      <x:c r="J17" s="11"/>
      <x:c r="K17" s="11"/>
      <x:c r="L17" s="11"/>
      <x:c r="M17" s="11"/>
      <x:c r="N17" s="11"/>
      <x:c r="O17" s="16" t="str">
        <x:f>IF(A17="","",SUMIFS('评论证据'!$Q$6:$Q$205,'评论证据'!$B$6:$B$205,A17))</x:f>
      </x:c>
      <x:c r="P17" s="16" t="str">
        <x:f>IF(A17="","",SUMIFS('评论证据'!$S$6:$S$205,'评论证据'!$B$6:$B$205,A17))</x:f>
      </x:c>
      <x:c r="Q17" s="16" t="str">
        <x:f>IF(A17="","",SUMIFS('评论证据'!$R$6:$R$205,'评论证据'!$B$6:$B$205,A17))</x:f>
      </x:c>
      <x:c r="R17" s="16" t="str">
        <x:f>IF(A17="","",SUMIFS('评论证据'!$W$6:$W$205,'评论证据'!$B$6:$B$205,A17))</x:f>
      </x:c>
      <x:c r="S17" s="18" t="str">
        <x:f>IF(A17="","",IF(O17=0,"未执行",IF(P17=0,"不适用",R17/P17)))</x:f>
      </x:c>
      <x:c r="T17" s="15" t="str">
        <x:f>IF(A17="","",IF(OR(G17="",J17=""),"待记录预算或耗时",IF(J17&gt;=G17,"到时停止","预算内")))</x:f>
      </x:c>
    </x:row>
  </x:sheetData>
  <x:dataValidations count="2">
    <x:dataValidation type="list" sqref="K6:K17">
      <x:formula1>"待输入,待验证,正在研究,证据不足,候选待审核,研究完成,受阻停止"</x:formula1>
    </x:dataValidation>
    <x:dataValidation type="list" sqref="B6:B17">
      <x:formula1>"B1能力验证,B2试取样,B3正式研究"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4aa2aa15624cb6"/>
  </x:tableParts>
</x:worksheet>
</file>

<file path=xl/worksheets/sheet3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搜索记录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2" customHeight="1">
      <x:c r="A5" s="8" t="str">
        <x:v>检索QID</x:v>
      </x:c>
      <x:c r="B5" s="8" t="str">
        <x:v>批次BID</x:v>
      </x:c>
      <x:c r="C5" s="8" t="str">
        <x:v>关键词KID</x:v>
      </x:c>
      <x:c r="D5" s="8" t="str">
        <x:v>实际搜索词</x:v>
      </x:c>
      <x:c r="E5" s="8" t="str">
        <x:v>词组类别</x:v>
      </x:c>
      <x:c r="F5" s="8" t="str">
        <x:v>发现路线</x:v>
      </x:c>
      <x:c r="G5" s="8" t="str">
        <x:v>账号类型</x:v>
      </x:c>
      <x:c r="H5" s="8" t="str">
        <x:v>开始时间</x:v>
      </x:c>
      <x:c r="I5" s="8" t="str">
        <x:v>结束时间</x:v>
      </x:c>
      <x:c r="J5" s="8" t="str">
        <x:v>实际排序</x:v>
      </x:c>
      <x:c r="K5" s="8" t="str">
        <x:v>筛选条件</x:v>
      </x:c>
      <x:c r="L5" s="8" t="str">
        <x:v>起始序号</x:v>
      </x:c>
      <x:c r="M5" s="8" t="str">
        <x:v>结束序号</x:v>
      </x:c>
      <x:c r="N5" s="8" t="str">
        <x:v>显示结果数</x:v>
      </x:c>
      <x:c r="O5" s="8" t="str">
        <x:v>更换或保留理由</x:v>
      </x:c>
      <x:c r="P5" s="8" t="str">
        <x:v>停止原因</x:v>
      </x:c>
      <x:c r="Q5" s="8" t="str">
        <x:v>证据EID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7"/>
      <x:c r="I6" s="17"/>
      <x:c r="J6" s="11"/>
      <x:c r="K6" s="11"/>
      <x:c r="L6" s="11"/>
      <x:c r="M6" s="11"/>
      <x:c r="N6" s="11"/>
      <x:c r="O6" s="11"/>
      <x:c r="P6" s="11"/>
      <x:c r="Q6" s="11"/>
    </x:row>
    <x:row r="7" ht="36" customHeight="1">
      <x:c r="A7" s="11"/>
      <x:c r="B7" s="11"/>
      <x:c r="C7" s="11"/>
      <x:c r="D7" s="11"/>
      <x:c r="E7" s="11"/>
      <x:c r="F7" s="11"/>
      <x:c r="G7" s="11"/>
      <x:c r="H7" s="17"/>
      <x:c r="I7" s="17"/>
      <x:c r="J7" s="11"/>
      <x:c r="K7" s="11"/>
      <x:c r="L7" s="11"/>
      <x:c r="M7" s="11"/>
      <x:c r="N7" s="11"/>
      <x:c r="O7" s="11"/>
      <x:c r="P7" s="11"/>
      <x:c r="Q7" s="11"/>
    </x:row>
    <x:row r="8" ht="36" customHeight="1">
      <x:c r="A8" s="11"/>
      <x:c r="B8" s="11"/>
      <x:c r="C8" s="11"/>
      <x:c r="D8" s="11"/>
      <x:c r="E8" s="11"/>
      <x:c r="F8" s="11"/>
      <x:c r="G8" s="11"/>
      <x:c r="H8" s="17"/>
      <x:c r="I8" s="17"/>
      <x:c r="J8" s="11"/>
      <x:c r="K8" s="11"/>
      <x:c r="L8" s="11"/>
      <x:c r="M8" s="11"/>
      <x:c r="N8" s="11"/>
      <x:c r="O8" s="11"/>
      <x:c r="P8" s="11"/>
      <x:c r="Q8" s="11"/>
    </x:row>
    <x:row r="9" ht="36" customHeight="1">
      <x:c r="A9" s="11"/>
      <x:c r="B9" s="11"/>
      <x:c r="C9" s="11"/>
      <x:c r="D9" s="11"/>
      <x:c r="E9" s="11"/>
      <x:c r="F9" s="11"/>
      <x:c r="G9" s="11"/>
      <x:c r="H9" s="17"/>
      <x:c r="I9" s="17"/>
      <x:c r="J9" s="11"/>
      <x:c r="K9" s="11"/>
      <x:c r="L9" s="11"/>
      <x:c r="M9" s="11"/>
      <x:c r="N9" s="11"/>
      <x:c r="O9" s="11"/>
      <x:c r="P9" s="11"/>
      <x:c r="Q9" s="11"/>
    </x:row>
    <x:row r="10" ht="36" customHeight="1">
      <x:c r="A10" s="11"/>
      <x:c r="B10" s="11"/>
      <x:c r="C10" s="11"/>
      <x:c r="D10" s="11"/>
      <x:c r="E10" s="11"/>
      <x:c r="F10" s="11"/>
      <x:c r="G10" s="11"/>
      <x:c r="H10" s="17"/>
      <x:c r="I10" s="17"/>
      <x:c r="J10" s="11"/>
      <x:c r="K10" s="11"/>
      <x:c r="L10" s="11"/>
      <x:c r="M10" s="11"/>
      <x:c r="N10" s="11"/>
      <x:c r="O10" s="11"/>
      <x:c r="P10" s="11"/>
      <x:c r="Q10" s="11"/>
    </x:row>
    <x:row r="11" ht="36" customHeight="1">
      <x:c r="A11" s="11"/>
      <x:c r="B11" s="11"/>
      <x:c r="C11" s="11"/>
      <x:c r="D11" s="11"/>
      <x:c r="E11" s="11"/>
      <x:c r="F11" s="11"/>
      <x:c r="G11" s="11"/>
      <x:c r="H11" s="17"/>
      <x:c r="I11" s="17"/>
      <x:c r="J11" s="11"/>
      <x:c r="K11" s="11"/>
      <x:c r="L11" s="11"/>
      <x:c r="M11" s="11"/>
      <x:c r="N11" s="11"/>
      <x:c r="O11" s="11"/>
      <x:c r="P11" s="11"/>
      <x:c r="Q11" s="11"/>
    </x:row>
    <x:row r="12" ht="36" customHeight="1">
      <x:c r="A12" s="11"/>
      <x:c r="B12" s="11"/>
      <x:c r="C12" s="11"/>
      <x:c r="D12" s="11"/>
      <x:c r="E12" s="11"/>
      <x:c r="F12" s="11"/>
      <x:c r="G12" s="11"/>
      <x:c r="H12" s="17"/>
      <x:c r="I12" s="17"/>
      <x:c r="J12" s="11"/>
      <x:c r="K12" s="11"/>
      <x:c r="L12" s="11"/>
      <x:c r="M12" s="11"/>
      <x:c r="N12" s="11"/>
      <x:c r="O12" s="11"/>
      <x:c r="P12" s="11"/>
      <x:c r="Q12" s="11"/>
    </x:row>
    <x:row r="13" ht="36" customHeight="1">
      <x:c r="A13" s="11"/>
      <x:c r="B13" s="11"/>
      <x:c r="C13" s="11"/>
      <x:c r="D13" s="11"/>
      <x:c r="E13" s="11"/>
      <x:c r="F13" s="11"/>
      <x:c r="G13" s="11"/>
      <x:c r="H13" s="17"/>
      <x:c r="I13" s="17"/>
      <x:c r="J13" s="11"/>
      <x:c r="K13" s="11"/>
      <x:c r="L13" s="11"/>
      <x:c r="M13" s="11"/>
      <x:c r="N13" s="11"/>
      <x:c r="O13" s="11"/>
      <x:c r="P13" s="11"/>
      <x:c r="Q13" s="11"/>
    </x:row>
    <x:row r="14" ht="36" customHeight="1">
      <x:c r="A14" s="11"/>
      <x:c r="B14" s="11"/>
      <x:c r="C14" s="11"/>
      <x:c r="D14" s="11"/>
      <x:c r="E14" s="11"/>
      <x:c r="F14" s="11"/>
      <x:c r="G14" s="11"/>
      <x:c r="H14" s="17"/>
      <x:c r="I14" s="17"/>
      <x:c r="J14" s="11"/>
      <x:c r="K14" s="11"/>
      <x:c r="L14" s="11"/>
      <x:c r="M14" s="11"/>
      <x:c r="N14" s="11"/>
      <x:c r="O14" s="11"/>
      <x:c r="P14" s="11"/>
      <x:c r="Q14" s="11"/>
    </x:row>
    <x:row r="15" ht="36" customHeight="1">
      <x:c r="A15" s="11"/>
      <x:c r="B15" s="11"/>
      <x:c r="C15" s="11"/>
      <x:c r="D15" s="11"/>
      <x:c r="E15" s="11"/>
      <x:c r="F15" s="11"/>
      <x:c r="G15" s="11"/>
      <x:c r="H15" s="17"/>
      <x:c r="I15" s="17"/>
      <x:c r="J15" s="11"/>
      <x:c r="K15" s="11"/>
      <x:c r="L15" s="11"/>
      <x:c r="M15" s="11"/>
      <x:c r="N15" s="11"/>
      <x:c r="O15" s="11"/>
      <x:c r="P15" s="11"/>
      <x:c r="Q15" s="11"/>
    </x:row>
    <x:row r="16" ht="36" customHeight="1">
      <x:c r="A16" s="11"/>
      <x:c r="B16" s="11"/>
      <x:c r="C16" s="11"/>
      <x:c r="D16" s="11"/>
      <x:c r="E16" s="11"/>
      <x:c r="F16" s="11"/>
      <x:c r="G16" s="11"/>
      <x:c r="H16" s="17"/>
      <x:c r="I16" s="17"/>
      <x:c r="J16" s="11"/>
      <x:c r="K16" s="11"/>
      <x:c r="L16" s="11"/>
      <x:c r="M16" s="11"/>
      <x:c r="N16" s="11"/>
      <x:c r="O16" s="11"/>
      <x:c r="P16" s="11"/>
      <x:c r="Q16" s="11"/>
    </x:row>
    <x:row r="17" ht="36" customHeight="1">
      <x:c r="A17" s="11"/>
      <x:c r="B17" s="11"/>
      <x:c r="C17" s="11"/>
      <x:c r="D17" s="11"/>
      <x:c r="E17" s="11"/>
      <x:c r="F17" s="11"/>
      <x:c r="G17" s="11"/>
      <x:c r="H17" s="17"/>
      <x:c r="I17" s="17"/>
      <x:c r="J17" s="11"/>
      <x:c r="K17" s="11"/>
      <x:c r="L17" s="11"/>
      <x:c r="M17" s="11"/>
      <x:c r="N17" s="11"/>
      <x:c r="O17" s="11"/>
      <x:c r="P17" s="11"/>
      <x:c r="Q17" s="11"/>
    </x:row>
    <x:row r="18" ht="36" customHeight="1">
      <x:c r="A18" s="11"/>
      <x:c r="B18" s="11"/>
      <x:c r="C18" s="11"/>
      <x:c r="D18" s="11"/>
      <x:c r="E18" s="11"/>
      <x:c r="F18" s="11"/>
      <x:c r="G18" s="11"/>
      <x:c r="H18" s="17"/>
      <x:c r="I18" s="17"/>
      <x:c r="J18" s="11"/>
      <x:c r="K18" s="11"/>
      <x:c r="L18" s="11"/>
      <x:c r="M18" s="11"/>
      <x:c r="N18" s="11"/>
      <x:c r="O18" s="11"/>
      <x:c r="P18" s="11"/>
      <x:c r="Q18" s="11"/>
    </x:row>
    <x:row r="19" ht="36" customHeight="1">
      <x:c r="A19" s="11"/>
      <x:c r="B19" s="11"/>
      <x:c r="C19" s="11"/>
      <x:c r="D19" s="11"/>
      <x:c r="E19" s="11"/>
      <x:c r="F19" s="11"/>
      <x:c r="G19" s="11"/>
      <x:c r="H19" s="17"/>
      <x:c r="I19" s="17"/>
      <x:c r="J19" s="11"/>
      <x:c r="K19" s="11"/>
      <x:c r="L19" s="11"/>
      <x:c r="M19" s="11"/>
      <x:c r="N19" s="11"/>
      <x:c r="O19" s="11"/>
      <x:c r="P19" s="11"/>
      <x:c r="Q19" s="11"/>
    </x:row>
    <x:row r="20" ht="36" customHeight="1">
      <x:c r="A20" s="11"/>
      <x:c r="B20" s="11"/>
      <x:c r="C20" s="11"/>
      <x:c r="D20" s="11"/>
      <x:c r="E20" s="11"/>
      <x:c r="F20" s="11"/>
      <x:c r="G20" s="11"/>
      <x:c r="H20" s="17"/>
      <x:c r="I20" s="17"/>
      <x:c r="J20" s="11"/>
      <x:c r="K20" s="11"/>
      <x:c r="L20" s="11"/>
      <x:c r="M20" s="11"/>
      <x:c r="N20" s="11"/>
      <x:c r="O20" s="11"/>
      <x:c r="P20" s="11"/>
      <x:c r="Q20" s="11"/>
    </x:row>
    <x:row r="21" ht="36" customHeight="1">
      <x:c r="A21" s="11"/>
      <x:c r="B21" s="11"/>
      <x:c r="C21" s="11"/>
      <x:c r="D21" s="11"/>
      <x:c r="E21" s="11"/>
      <x:c r="F21" s="11"/>
      <x:c r="G21" s="11"/>
      <x:c r="H21" s="17"/>
      <x:c r="I21" s="17"/>
      <x:c r="J21" s="11"/>
      <x:c r="K21" s="11"/>
      <x:c r="L21" s="11"/>
      <x:c r="M21" s="11"/>
      <x:c r="N21" s="11"/>
      <x:c r="O21" s="11"/>
      <x:c r="P21" s="11"/>
      <x:c r="Q21" s="11"/>
    </x:row>
    <x:row r="22" ht="36" customHeight="1">
      <x:c r="A22" s="11"/>
      <x:c r="B22" s="11"/>
      <x:c r="C22" s="11"/>
      <x:c r="D22" s="11"/>
      <x:c r="E22" s="11"/>
      <x:c r="F22" s="11"/>
      <x:c r="G22" s="11"/>
      <x:c r="H22" s="17"/>
      <x:c r="I22" s="17"/>
      <x:c r="J22" s="11"/>
      <x:c r="K22" s="11"/>
      <x:c r="L22" s="11"/>
      <x:c r="M22" s="11"/>
      <x:c r="N22" s="11"/>
      <x:c r="O22" s="11"/>
      <x:c r="P22" s="11"/>
      <x:c r="Q22" s="11"/>
    </x:row>
    <x:row r="23" ht="36" customHeight="1">
      <x:c r="A23" s="11"/>
      <x:c r="B23" s="11"/>
      <x:c r="C23" s="11"/>
      <x:c r="D23" s="11"/>
      <x:c r="E23" s="11"/>
      <x:c r="F23" s="11"/>
      <x:c r="G23" s="11"/>
      <x:c r="H23" s="17"/>
      <x:c r="I23" s="17"/>
      <x:c r="J23" s="11"/>
      <x:c r="K23" s="11"/>
      <x:c r="L23" s="11"/>
      <x:c r="M23" s="11"/>
      <x:c r="N23" s="11"/>
      <x:c r="O23" s="11"/>
      <x:c r="P23" s="11"/>
      <x:c r="Q23" s="11"/>
    </x:row>
    <x:row r="24" ht="36" customHeight="1">
      <x:c r="A24" s="11"/>
      <x:c r="B24" s="11"/>
      <x:c r="C24" s="11"/>
      <x:c r="D24" s="11"/>
      <x:c r="E24" s="11"/>
      <x:c r="F24" s="11"/>
      <x:c r="G24" s="11"/>
      <x:c r="H24" s="17"/>
      <x:c r="I24" s="17"/>
      <x:c r="J24" s="11"/>
      <x:c r="K24" s="11"/>
      <x:c r="L24" s="11"/>
      <x:c r="M24" s="11"/>
      <x:c r="N24" s="11"/>
      <x:c r="O24" s="11"/>
      <x:c r="P24" s="11"/>
      <x:c r="Q24" s="11"/>
    </x:row>
    <x:row r="25" ht="36" customHeight="1">
      <x:c r="A25" s="11"/>
      <x:c r="B25" s="11"/>
      <x:c r="C25" s="11"/>
      <x:c r="D25" s="11"/>
      <x:c r="E25" s="11"/>
      <x:c r="F25" s="11"/>
      <x:c r="G25" s="11"/>
      <x:c r="H25" s="17"/>
      <x:c r="I25" s="17"/>
      <x:c r="J25" s="11"/>
      <x:c r="K25" s="11"/>
      <x:c r="L25" s="11"/>
      <x:c r="M25" s="11"/>
      <x:c r="N25" s="11"/>
      <x:c r="O25" s="11"/>
      <x:c r="P25" s="11"/>
      <x:c r="Q25" s="11"/>
    </x:row>
    <x:row r="26" ht="36" customHeight="1">
      <x:c r="A26" s="11"/>
      <x:c r="B26" s="11"/>
      <x:c r="C26" s="11"/>
      <x:c r="D26" s="11"/>
      <x:c r="E26" s="11"/>
      <x:c r="F26" s="11"/>
      <x:c r="G26" s="11"/>
      <x:c r="H26" s="17"/>
      <x:c r="I26" s="17"/>
      <x:c r="J26" s="11"/>
      <x:c r="K26" s="11"/>
      <x:c r="L26" s="11"/>
      <x:c r="M26" s="11"/>
      <x:c r="N26" s="11"/>
      <x:c r="O26" s="11"/>
      <x:c r="P26" s="11"/>
      <x:c r="Q26" s="11"/>
    </x:row>
    <x:row r="27" ht="36" customHeight="1">
      <x:c r="A27" s="11"/>
      <x:c r="B27" s="11"/>
      <x:c r="C27" s="11"/>
      <x:c r="D27" s="11"/>
      <x:c r="E27" s="11"/>
      <x:c r="F27" s="11"/>
      <x:c r="G27" s="11"/>
      <x:c r="H27" s="17"/>
      <x:c r="I27" s="17"/>
      <x:c r="J27" s="11"/>
      <x:c r="K27" s="11"/>
      <x:c r="L27" s="11"/>
      <x:c r="M27" s="11"/>
      <x:c r="N27" s="11"/>
      <x:c r="O27" s="11"/>
      <x:c r="P27" s="11"/>
      <x:c r="Q27" s="11"/>
    </x:row>
    <x:row r="28" ht="36" customHeight="1">
      <x:c r="A28" s="11"/>
      <x:c r="B28" s="11"/>
      <x:c r="C28" s="11"/>
      <x:c r="D28" s="11"/>
      <x:c r="E28" s="11"/>
      <x:c r="F28" s="11"/>
      <x:c r="G28" s="11"/>
      <x:c r="H28" s="17"/>
      <x:c r="I28" s="17"/>
      <x:c r="J28" s="11"/>
      <x:c r="K28" s="11"/>
      <x:c r="L28" s="11"/>
      <x:c r="M28" s="11"/>
      <x:c r="N28" s="11"/>
      <x:c r="O28" s="11"/>
      <x:c r="P28" s="11"/>
      <x:c r="Q28" s="11"/>
    </x:row>
    <x:row r="29" ht="36" customHeight="1">
      <x:c r="A29" s="11"/>
      <x:c r="B29" s="11"/>
      <x:c r="C29" s="11"/>
      <x:c r="D29" s="11"/>
      <x:c r="E29" s="11"/>
      <x:c r="F29" s="11"/>
      <x:c r="G29" s="11"/>
      <x:c r="H29" s="17"/>
      <x:c r="I29" s="17"/>
      <x:c r="J29" s="11"/>
      <x:c r="K29" s="11"/>
      <x:c r="L29" s="11"/>
      <x:c r="M29" s="11"/>
      <x:c r="N29" s="11"/>
      <x:c r="O29" s="11"/>
      <x:c r="P29" s="11"/>
      <x:c r="Q29" s="11"/>
    </x:row>
    <x:row r="30" ht="36" customHeight="1">
      <x:c r="A30" s="11"/>
      <x:c r="B30" s="11"/>
      <x:c r="C30" s="11"/>
      <x:c r="D30" s="11"/>
      <x:c r="E30" s="11"/>
      <x:c r="F30" s="11"/>
      <x:c r="G30" s="11"/>
      <x:c r="H30" s="17"/>
      <x:c r="I30" s="17"/>
      <x:c r="J30" s="11"/>
      <x:c r="K30" s="11"/>
      <x:c r="L30" s="11"/>
      <x:c r="M30" s="11"/>
      <x:c r="N30" s="11"/>
      <x:c r="O30" s="11"/>
      <x:c r="P30" s="11"/>
      <x:c r="Q30" s="11"/>
    </x:row>
    <x:row r="31" ht="36" customHeight="1">
      <x:c r="A31" s="11"/>
      <x:c r="B31" s="11"/>
      <x:c r="C31" s="11"/>
      <x:c r="D31" s="11"/>
      <x:c r="E31" s="11"/>
      <x:c r="F31" s="11"/>
      <x:c r="G31" s="11"/>
      <x:c r="H31" s="17"/>
      <x:c r="I31" s="17"/>
      <x:c r="J31" s="11"/>
      <x:c r="K31" s="11"/>
      <x:c r="L31" s="11"/>
      <x:c r="M31" s="11"/>
      <x:c r="N31" s="11"/>
      <x:c r="O31" s="11"/>
      <x:c r="P31" s="11"/>
      <x:c r="Q31" s="11"/>
    </x:row>
    <x:row r="32" ht="36" customHeight="1">
      <x:c r="A32" s="11"/>
      <x:c r="B32" s="11"/>
      <x:c r="C32" s="11"/>
      <x:c r="D32" s="11"/>
      <x:c r="E32" s="11"/>
      <x:c r="F32" s="11"/>
      <x:c r="G32" s="11"/>
      <x:c r="H32" s="17"/>
      <x:c r="I32" s="17"/>
      <x:c r="J32" s="11"/>
      <x:c r="K32" s="11"/>
      <x:c r="L32" s="11"/>
      <x:c r="M32" s="11"/>
      <x:c r="N32" s="11"/>
      <x:c r="O32" s="11"/>
      <x:c r="P32" s="11"/>
      <x:c r="Q32" s="11"/>
    </x:row>
    <x:row r="33" ht="36" customHeight="1">
      <x:c r="A33" s="11"/>
      <x:c r="B33" s="11"/>
      <x:c r="C33" s="11"/>
      <x:c r="D33" s="11"/>
      <x:c r="E33" s="11"/>
      <x:c r="F33" s="11"/>
      <x:c r="G33" s="11"/>
      <x:c r="H33" s="17"/>
      <x:c r="I33" s="17"/>
      <x:c r="J33" s="11"/>
      <x:c r="K33" s="11"/>
      <x:c r="L33" s="11"/>
      <x:c r="M33" s="11"/>
      <x:c r="N33" s="11"/>
      <x:c r="O33" s="11"/>
      <x:c r="P33" s="11"/>
      <x:c r="Q33" s="11"/>
    </x:row>
    <x:row r="34" ht="36" customHeight="1">
      <x:c r="A34" s="11"/>
      <x:c r="B34" s="11"/>
      <x:c r="C34" s="11"/>
      <x:c r="D34" s="11"/>
      <x:c r="E34" s="11"/>
      <x:c r="F34" s="11"/>
      <x:c r="G34" s="11"/>
      <x:c r="H34" s="17"/>
      <x:c r="I34" s="17"/>
      <x:c r="J34" s="11"/>
      <x:c r="K34" s="11"/>
      <x:c r="L34" s="11"/>
      <x:c r="M34" s="11"/>
      <x:c r="N34" s="11"/>
      <x:c r="O34" s="11"/>
      <x:c r="P34" s="11"/>
      <x:c r="Q34" s="11"/>
    </x:row>
    <x:row r="35" ht="36" customHeight="1">
      <x:c r="A35" s="11"/>
      <x:c r="B35" s="11"/>
      <x:c r="C35" s="11"/>
      <x:c r="D35" s="11"/>
      <x:c r="E35" s="11"/>
      <x:c r="F35" s="11"/>
      <x:c r="G35" s="11"/>
      <x:c r="H35" s="17"/>
      <x:c r="I35" s="17"/>
      <x:c r="J35" s="11"/>
      <x:c r="K35" s="11"/>
      <x:c r="L35" s="11"/>
      <x:c r="M35" s="11"/>
      <x:c r="N35" s="11"/>
      <x:c r="O35" s="11"/>
      <x:c r="P35" s="11"/>
      <x:c r="Q35" s="11"/>
    </x:row>
  </x:sheetData>
  <x:pageMargins left="0.7" right="0.7" top="0.75" bottom="0.75" header="0.3" footer="0.3"/>
  <x:tableParts count="1">
    <x:tablePart xmlns:r="http://schemas.openxmlformats.org/officeDocument/2006/relationships" r:id="R9e0976f56cf740f1"/>
  </x:tableParts>
</x:worksheet>
</file>

<file path=xl/worksheets/sheet4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账号筛选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42" customHeight="1">
      <x:c r="A5" s="8" t="str">
        <x:v>账号AID</x:v>
      </x:c>
      <x:c r="B5" s="8" t="str">
        <x:v>发现QID</x:v>
      </x:c>
      <x:c r="C5" s="8" t="str">
        <x:v>批次BID</x:v>
      </x:c>
      <x:c r="D5" s="8" t="str">
        <x:v>页面账号标识</x:v>
      </x:c>
      <x:c r="E5" s="8" t="str">
        <x:v>主页链接</x:v>
      </x:c>
      <x:c r="F5" s="8" t="str">
        <x:v>来源类型</x:v>
      </x:c>
      <x:c r="G5" s="8" t="str">
        <x:v>内容主题</x:v>
      </x:c>
      <x:c r="H5" s="8" t="str">
        <x:v>相关性与场景证据</x:v>
      </x:c>
      <x:c r="I5" s="8" t="str">
        <x:v>最近可见笔记范围</x:v>
      </x:c>
      <x:c r="J5" s="8" t="str">
        <x:v>持续相关发布</x:v>
      </x:c>
      <x:c r="K5" s="8" t="str">
        <x:v>评论研究信号</x:v>
      </x:c>
      <x:c r="L5" s="8" t="str">
        <x:v>专业与商业倾向</x:v>
      </x:c>
      <x:c r="M5" s="8" t="str">
        <x:v>页面可访问</x:v>
      </x:c>
      <x:c r="N5" s="8" t="str">
        <x:v>筛选状态</x:v>
      </x:c>
      <x:c r="O5" s="8" t="str">
        <x:v>判定理由</x:v>
      </x:c>
      <x:c r="P5" s="8" t="str">
        <x:v>已研究笔记数</x:v>
      </x:c>
      <x:c r="Q5" s="8" t="str">
        <x:v>实际使用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6" t="str">
        <x:f>IF(A6="","",COUNTIFS('笔记筛选'!$C$6:$C$35,A6,'笔记筛选'!$M$6:$M$35,"已研究"))</x:f>
      </x:c>
      <x:c r="Q6" s="16" t="str">
        <x:f>IF(A6="","",IF(P6&gt;0,"实际使用","未用于研究"))</x:f>
      </x:c>
    </x:row>
    <x:row r="7" ht="36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6" t="str">
        <x:f>IF(A7="","",COUNTIFS('笔记筛选'!$C$6:$C$35,A7,'笔记筛选'!$M$6:$M$35,"已研究"))</x:f>
      </x:c>
      <x:c r="Q7" s="16" t="str">
        <x:f>IF(A7="","",IF(P7&gt;0,"实际使用","未用于研究"))</x:f>
      </x:c>
    </x:row>
    <x:row r="8" ht="36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6" t="str">
        <x:f>IF(A8="","",COUNTIFS('笔记筛选'!$C$6:$C$35,A8,'笔记筛选'!$M$6:$M$35,"已研究"))</x:f>
      </x:c>
      <x:c r="Q8" s="16" t="str">
        <x:f>IF(A8="","",IF(P8&gt;0,"实际使用","未用于研究"))</x:f>
      </x:c>
    </x:row>
    <x:row r="9" ht="36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6" t="str">
        <x:f>IF(A9="","",COUNTIFS('笔记筛选'!$C$6:$C$35,A9,'笔记筛选'!$M$6:$M$35,"已研究"))</x:f>
      </x:c>
      <x:c r="Q9" s="16" t="str">
        <x:f>IF(A9="","",IF(P9&gt;0,"实际使用","未用于研究"))</x:f>
      </x:c>
    </x:row>
    <x:row r="10" ht="36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6" t="str">
        <x:f>IF(A10="","",COUNTIFS('笔记筛选'!$C$6:$C$35,A10,'笔记筛选'!$M$6:$M$35,"已研究"))</x:f>
      </x:c>
      <x:c r="Q10" s="16" t="str">
        <x:f>IF(A10="","",IF(P10&gt;0,"实际使用","未用于研究"))</x:f>
      </x:c>
    </x:row>
    <x:row r="11" ht="36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6" t="str">
        <x:f>IF(A11="","",COUNTIFS('笔记筛选'!$C$6:$C$35,A11,'笔记筛选'!$M$6:$M$35,"已研究"))</x:f>
      </x:c>
      <x:c r="Q11" s="16" t="str">
        <x:f>IF(A11="","",IF(P11&gt;0,"实际使用","未用于研究"))</x:f>
      </x:c>
    </x:row>
    <x:row r="12" ht="36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6" t="str">
        <x:f>IF(A12="","",COUNTIFS('笔记筛选'!$C$6:$C$35,A12,'笔记筛选'!$M$6:$M$35,"已研究"))</x:f>
      </x:c>
      <x:c r="Q12" s="16" t="str">
        <x:f>IF(A12="","",IF(P12&gt;0,"实际使用","未用于研究"))</x:f>
      </x:c>
    </x:row>
    <x:row r="13" ht="36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6" t="str">
        <x:f>IF(A13="","",COUNTIFS('笔记筛选'!$C$6:$C$35,A13,'笔记筛选'!$M$6:$M$35,"已研究"))</x:f>
      </x:c>
      <x:c r="Q13" s="16" t="str">
        <x:f>IF(A13="","",IF(P13&gt;0,"实际使用","未用于研究"))</x:f>
      </x:c>
    </x:row>
    <x:row r="14" ht="36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6" t="str">
        <x:f>IF(A14="","",COUNTIFS('笔记筛选'!$C$6:$C$35,A14,'笔记筛选'!$M$6:$M$35,"已研究"))</x:f>
      </x:c>
      <x:c r="Q14" s="16" t="str">
        <x:f>IF(A14="","",IF(P14&gt;0,"实际使用","未用于研究"))</x:f>
      </x:c>
    </x:row>
    <x:row r="15" ht="36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6" t="str">
        <x:f>IF(A15="","",COUNTIFS('笔记筛选'!$C$6:$C$35,A15,'笔记筛选'!$M$6:$M$35,"已研究"))</x:f>
      </x:c>
      <x:c r="Q15" s="16" t="str">
        <x:f>IF(A15="","",IF(P15&gt;0,"实际使用","未用于研究"))</x:f>
      </x:c>
    </x:row>
    <x:row r="16" ht="36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6" t="str">
        <x:f>IF(A16="","",COUNTIFS('笔记筛选'!$C$6:$C$35,A16,'笔记筛选'!$M$6:$M$35,"已研究"))</x:f>
      </x:c>
      <x:c r="Q16" s="16" t="str">
        <x:f>IF(A16="","",IF(P16&gt;0,"实际使用","未用于研究"))</x:f>
      </x:c>
    </x:row>
    <x:row r="17" ht="36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6" t="str">
        <x:f>IF(A17="","",COUNTIFS('笔记筛选'!$C$6:$C$35,A17,'笔记筛选'!$M$6:$M$35,"已研究"))</x:f>
      </x:c>
      <x:c r="Q17" s="16" t="str">
        <x:f>IF(A17="","",IF(P17&gt;0,"实际使用","未用于研究"))</x:f>
      </x:c>
    </x:row>
    <x:row r="18" ht="36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6" t="str">
        <x:f>IF(A18="","",COUNTIFS('笔记筛选'!$C$6:$C$35,A18,'笔记筛选'!$M$6:$M$35,"已研究"))</x:f>
      </x:c>
      <x:c r="Q18" s="16" t="str">
        <x:f>IF(A18="","",IF(P18&gt;0,"实际使用","未用于研究"))</x:f>
      </x:c>
    </x:row>
    <x:row r="19" ht="36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6" t="str">
        <x:f>IF(A19="","",COUNTIFS('笔记筛选'!$C$6:$C$35,A19,'笔记筛选'!$M$6:$M$35,"已研究"))</x:f>
      </x:c>
      <x:c r="Q19" s="16" t="str">
        <x:f>IF(A19="","",IF(P19&gt;0,"实际使用","未用于研究"))</x:f>
      </x:c>
    </x:row>
    <x:row r="20" ht="36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6" t="str">
        <x:f>IF(A20="","",COUNTIFS('笔记筛选'!$C$6:$C$35,A20,'笔记筛选'!$M$6:$M$35,"已研究"))</x:f>
      </x:c>
      <x:c r="Q20" s="16" t="str">
        <x:f>IF(A20="","",IF(P20&gt;0,"实际使用","未用于研究"))</x:f>
      </x:c>
    </x:row>
    <x:row r="21" ht="36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6" t="str">
        <x:f>IF(A21="","",COUNTIFS('笔记筛选'!$C$6:$C$35,A21,'笔记筛选'!$M$6:$M$35,"已研究"))</x:f>
      </x:c>
      <x:c r="Q21" s="16" t="str">
        <x:f>IF(A21="","",IF(P21&gt;0,"实际使用","未用于研究"))</x:f>
      </x:c>
    </x:row>
    <x:row r="22" ht="36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6" t="str">
        <x:f>IF(A22="","",COUNTIFS('笔记筛选'!$C$6:$C$35,A22,'笔记筛选'!$M$6:$M$35,"已研究"))</x:f>
      </x:c>
      <x:c r="Q22" s="16" t="str">
        <x:f>IF(A22="","",IF(P22&gt;0,"实际使用","未用于研究"))</x:f>
      </x:c>
    </x:row>
    <x:row r="23" ht="36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6" t="str">
        <x:f>IF(A23="","",COUNTIFS('笔记筛选'!$C$6:$C$35,A23,'笔记筛选'!$M$6:$M$35,"已研究"))</x:f>
      </x:c>
      <x:c r="Q23" s="16" t="str">
        <x:f>IF(A23="","",IF(P23&gt;0,"实际使用","未用于研究"))</x:f>
      </x:c>
    </x:row>
    <x:row r="24" ht="36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6" t="str">
        <x:f>IF(A24="","",COUNTIFS('笔记筛选'!$C$6:$C$35,A24,'笔记筛选'!$M$6:$M$35,"已研究"))</x:f>
      </x:c>
      <x:c r="Q24" s="16" t="str">
        <x:f>IF(A24="","",IF(P24&gt;0,"实际使用","未用于研究"))</x:f>
      </x:c>
    </x:row>
    <x:row r="25" ht="36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6" t="str">
        <x:f>IF(A25="","",COUNTIFS('笔记筛选'!$C$6:$C$35,A25,'笔记筛选'!$M$6:$M$35,"已研究"))</x:f>
      </x:c>
      <x:c r="Q25" s="16" t="str">
        <x:f>IF(A25="","",IF(P25&gt;0,"实际使用","未用于研究"))</x:f>
      </x:c>
    </x:row>
  </x:sheetData>
  <x:dataValidations count="1">
    <x:dataValidation type="list" sqref="N6:N25">
      <x:formula1>"候选,初步通过,待补证,排除"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f9f19e9ed34a1c"/>
  </x:tableParts>
</x:worksheet>
</file>

<file path=xl/worksheets/sheet5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笔记筛选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2" customHeight="1">
      <x:c r="A5" s="8" t="str">
        <x:v>笔记NID</x:v>
      </x:c>
      <x:c r="B5" s="8" t="str">
        <x:v>检索QID</x:v>
      </x:c>
      <x:c r="C5" s="8" t="str">
        <x:v>账号AID</x:v>
      </x:c>
      <x:c r="D5" s="8" t="str">
        <x:v>批次BID</x:v>
      </x:c>
      <x:c r="E5" s="8" t="str">
        <x:v>笔记标题</x:v>
      </x:c>
      <x:c r="F5" s="8" t="str">
        <x:v>笔记链接</x:v>
      </x:c>
      <x:c r="G5" s="8" t="str">
        <x:v>笔记类型</x:v>
      </x:c>
      <x:c r="H5" s="8" t="str">
        <x:v>发布时间</x:v>
      </x:c>
      <x:c r="I5" s="8" t="str">
        <x:v>观察时间</x:v>
      </x:c>
      <x:c r="J5" s="8" t="str">
        <x:v>结果排序与位置</x:v>
      </x:c>
      <x:c r="K5" s="8" t="str">
        <x:v>语境读取范围</x:v>
      </x:c>
      <x:c r="L5" s="8" t="str">
        <x:v>选入或排除原因</x:v>
      </x:c>
      <x:c r="M5" s="8" t="str">
        <x:v>笔记状态</x:v>
      </x:c>
      <x:c r="N5" s="8" t="str">
        <x:v>证据EID</x:v>
      </x:c>
      <x:c r="O5" s="14" t="str">
        <x:v>搜索链路完整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7"/>
      <x:c r="I6" s="17"/>
      <x:c r="J6" s="11"/>
      <x:c r="K6" s="11"/>
      <x:c r="L6" s="11"/>
      <x:c r="M6" s="11"/>
      <x:c r="N6" s="11"/>
      <x:c r="O6" s="15" t="str">
        <x:f>IF(A6="","",IF(AND(A6&lt;&gt;"",E6&lt;&gt;"",F6&lt;&gt;"",COUNTIF($A$6:$A$35,A6)=1,COUNTIF('搜索记录'!$A$6:$A$35,B6)=1,COUNTIF('账号筛选'!$A$6:$A$25,C6)=1,COUNTIF('批次记录'!$A$6:$A$17,D6)=1),IF(INDEX('搜索记录'!$D$6:$D$35,MATCH(B6,'搜索记录'!$A$6:$A$35,0))&lt;&gt;"",1,0),0))</x:f>
      </x:c>
    </x:row>
    <x:row r="7" ht="36" customHeight="1">
      <x:c r="A7" s="11"/>
      <x:c r="B7" s="11"/>
      <x:c r="C7" s="11"/>
      <x:c r="D7" s="11"/>
      <x:c r="E7" s="11"/>
      <x:c r="F7" s="11"/>
      <x:c r="G7" s="11"/>
      <x:c r="H7" s="17"/>
      <x:c r="I7" s="17"/>
      <x:c r="J7" s="11"/>
      <x:c r="K7" s="11"/>
      <x:c r="L7" s="11"/>
      <x:c r="M7" s="11"/>
      <x:c r="N7" s="11"/>
      <x:c r="O7" s="15" t="str">
        <x:f>IF(A7="","",IF(AND(A7&lt;&gt;"",E7&lt;&gt;"",F7&lt;&gt;"",COUNTIF($A$6:$A$35,A7)=1,COUNTIF('搜索记录'!$A$6:$A$35,B7)=1,COUNTIF('账号筛选'!$A$6:$A$25,C7)=1,COUNTIF('批次记录'!$A$6:$A$17,D7)=1),IF(INDEX('搜索记录'!$D$6:$D$35,MATCH(B7,'搜索记录'!$A$6:$A$35,0))&lt;&gt;"",1,0),0))</x:f>
      </x:c>
    </x:row>
    <x:row r="8" ht="36" customHeight="1">
      <x:c r="A8" s="11"/>
      <x:c r="B8" s="11"/>
      <x:c r="C8" s="11"/>
      <x:c r="D8" s="11"/>
      <x:c r="E8" s="11"/>
      <x:c r="F8" s="11"/>
      <x:c r="G8" s="11"/>
      <x:c r="H8" s="17"/>
      <x:c r="I8" s="17"/>
      <x:c r="J8" s="11"/>
      <x:c r="K8" s="11"/>
      <x:c r="L8" s="11"/>
      <x:c r="M8" s="11"/>
      <x:c r="N8" s="11"/>
      <x:c r="O8" s="15" t="str">
        <x:f>IF(A8="","",IF(AND(A8&lt;&gt;"",E8&lt;&gt;"",F8&lt;&gt;"",COUNTIF($A$6:$A$35,A8)=1,COUNTIF('搜索记录'!$A$6:$A$35,B8)=1,COUNTIF('账号筛选'!$A$6:$A$25,C8)=1,COUNTIF('批次记录'!$A$6:$A$17,D8)=1),IF(INDEX('搜索记录'!$D$6:$D$35,MATCH(B8,'搜索记录'!$A$6:$A$35,0))&lt;&gt;"",1,0),0))</x:f>
      </x:c>
    </x:row>
    <x:row r="9" ht="36" customHeight="1">
      <x:c r="A9" s="11"/>
      <x:c r="B9" s="11"/>
      <x:c r="C9" s="11"/>
      <x:c r="D9" s="11"/>
      <x:c r="E9" s="11"/>
      <x:c r="F9" s="11"/>
      <x:c r="G9" s="11"/>
      <x:c r="H9" s="17"/>
      <x:c r="I9" s="17"/>
      <x:c r="J9" s="11"/>
      <x:c r="K9" s="11"/>
      <x:c r="L9" s="11"/>
      <x:c r="M9" s="11"/>
      <x:c r="N9" s="11"/>
      <x:c r="O9" s="15" t="str">
        <x:f>IF(A9="","",IF(AND(A9&lt;&gt;"",E9&lt;&gt;"",F9&lt;&gt;"",COUNTIF($A$6:$A$35,A9)=1,COUNTIF('搜索记录'!$A$6:$A$35,B9)=1,COUNTIF('账号筛选'!$A$6:$A$25,C9)=1,COUNTIF('批次记录'!$A$6:$A$17,D9)=1),IF(INDEX('搜索记录'!$D$6:$D$35,MATCH(B9,'搜索记录'!$A$6:$A$35,0))&lt;&gt;"",1,0),0))</x:f>
      </x:c>
    </x:row>
    <x:row r="10" ht="36" customHeight="1">
      <x:c r="A10" s="11"/>
      <x:c r="B10" s="11"/>
      <x:c r="C10" s="11"/>
      <x:c r="D10" s="11"/>
      <x:c r="E10" s="11"/>
      <x:c r="F10" s="11"/>
      <x:c r="G10" s="11"/>
      <x:c r="H10" s="17"/>
      <x:c r="I10" s="17"/>
      <x:c r="J10" s="11"/>
      <x:c r="K10" s="11"/>
      <x:c r="L10" s="11"/>
      <x:c r="M10" s="11"/>
      <x:c r="N10" s="11"/>
      <x:c r="O10" s="15" t="str">
        <x:f>IF(A10="","",IF(AND(A10&lt;&gt;"",E10&lt;&gt;"",F10&lt;&gt;"",COUNTIF($A$6:$A$35,A10)=1,COUNTIF('搜索记录'!$A$6:$A$35,B10)=1,COUNTIF('账号筛选'!$A$6:$A$25,C10)=1,COUNTIF('批次记录'!$A$6:$A$17,D10)=1),IF(INDEX('搜索记录'!$D$6:$D$35,MATCH(B10,'搜索记录'!$A$6:$A$35,0))&lt;&gt;"",1,0),0))</x:f>
      </x:c>
    </x:row>
    <x:row r="11" ht="36" customHeight="1">
      <x:c r="A11" s="11"/>
      <x:c r="B11" s="11"/>
      <x:c r="C11" s="11"/>
      <x:c r="D11" s="11"/>
      <x:c r="E11" s="11"/>
      <x:c r="F11" s="11"/>
      <x:c r="G11" s="11"/>
      <x:c r="H11" s="17"/>
      <x:c r="I11" s="17"/>
      <x:c r="J11" s="11"/>
      <x:c r="K11" s="11"/>
      <x:c r="L11" s="11"/>
      <x:c r="M11" s="11"/>
      <x:c r="N11" s="11"/>
      <x:c r="O11" s="15" t="str">
        <x:f>IF(A11="","",IF(AND(A11&lt;&gt;"",E11&lt;&gt;"",F11&lt;&gt;"",COUNTIF($A$6:$A$35,A11)=1,COUNTIF('搜索记录'!$A$6:$A$35,B11)=1,COUNTIF('账号筛选'!$A$6:$A$25,C11)=1,COUNTIF('批次记录'!$A$6:$A$17,D11)=1),IF(INDEX('搜索记录'!$D$6:$D$35,MATCH(B11,'搜索记录'!$A$6:$A$35,0))&lt;&gt;"",1,0),0))</x:f>
      </x:c>
    </x:row>
    <x:row r="12" ht="36" customHeight="1">
      <x:c r="A12" s="11"/>
      <x:c r="B12" s="11"/>
      <x:c r="C12" s="11"/>
      <x:c r="D12" s="11"/>
      <x:c r="E12" s="11"/>
      <x:c r="F12" s="11"/>
      <x:c r="G12" s="11"/>
      <x:c r="H12" s="17"/>
      <x:c r="I12" s="17"/>
      <x:c r="J12" s="11"/>
      <x:c r="K12" s="11"/>
      <x:c r="L12" s="11"/>
      <x:c r="M12" s="11"/>
      <x:c r="N12" s="11"/>
      <x:c r="O12" s="15" t="str">
        <x:f>IF(A12="","",IF(AND(A12&lt;&gt;"",E12&lt;&gt;"",F12&lt;&gt;"",COUNTIF($A$6:$A$35,A12)=1,COUNTIF('搜索记录'!$A$6:$A$35,B12)=1,COUNTIF('账号筛选'!$A$6:$A$25,C12)=1,COUNTIF('批次记录'!$A$6:$A$17,D12)=1),IF(INDEX('搜索记录'!$D$6:$D$35,MATCH(B12,'搜索记录'!$A$6:$A$35,0))&lt;&gt;"",1,0),0))</x:f>
      </x:c>
    </x:row>
    <x:row r="13" ht="36" customHeight="1">
      <x:c r="A13" s="11"/>
      <x:c r="B13" s="11"/>
      <x:c r="C13" s="11"/>
      <x:c r="D13" s="11"/>
      <x:c r="E13" s="11"/>
      <x:c r="F13" s="11"/>
      <x:c r="G13" s="11"/>
      <x:c r="H13" s="17"/>
      <x:c r="I13" s="17"/>
      <x:c r="J13" s="11"/>
      <x:c r="K13" s="11"/>
      <x:c r="L13" s="11"/>
      <x:c r="M13" s="11"/>
      <x:c r="N13" s="11"/>
      <x:c r="O13" s="15" t="str">
        <x:f>IF(A13="","",IF(AND(A13&lt;&gt;"",E13&lt;&gt;"",F13&lt;&gt;"",COUNTIF($A$6:$A$35,A13)=1,COUNTIF('搜索记录'!$A$6:$A$35,B13)=1,COUNTIF('账号筛选'!$A$6:$A$25,C13)=1,COUNTIF('批次记录'!$A$6:$A$17,D13)=1),IF(INDEX('搜索记录'!$D$6:$D$35,MATCH(B13,'搜索记录'!$A$6:$A$35,0))&lt;&gt;"",1,0),0))</x:f>
      </x:c>
    </x:row>
    <x:row r="14" ht="36" customHeight="1">
      <x:c r="A14" s="11"/>
      <x:c r="B14" s="11"/>
      <x:c r="C14" s="11"/>
      <x:c r="D14" s="11"/>
      <x:c r="E14" s="11"/>
      <x:c r="F14" s="11"/>
      <x:c r="G14" s="11"/>
      <x:c r="H14" s="17"/>
      <x:c r="I14" s="17"/>
      <x:c r="J14" s="11"/>
      <x:c r="K14" s="11"/>
      <x:c r="L14" s="11"/>
      <x:c r="M14" s="11"/>
      <x:c r="N14" s="11"/>
      <x:c r="O14" s="15" t="str">
        <x:f>IF(A14="","",IF(AND(A14&lt;&gt;"",E14&lt;&gt;"",F14&lt;&gt;"",COUNTIF($A$6:$A$35,A14)=1,COUNTIF('搜索记录'!$A$6:$A$35,B14)=1,COUNTIF('账号筛选'!$A$6:$A$25,C14)=1,COUNTIF('批次记录'!$A$6:$A$17,D14)=1),IF(INDEX('搜索记录'!$D$6:$D$35,MATCH(B14,'搜索记录'!$A$6:$A$35,0))&lt;&gt;"",1,0),0))</x:f>
      </x:c>
    </x:row>
    <x:row r="15" ht="36" customHeight="1">
      <x:c r="A15" s="11"/>
      <x:c r="B15" s="11"/>
      <x:c r="C15" s="11"/>
      <x:c r="D15" s="11"/>
      <x:c r="E15" s="11"/>
      <x:c r="F15" s="11"/>
      <x:c r="G15" s="11"/>
      <x:c r="H15" s="17"/>
      <x:c r="I15" s="17"/>
      <x:c r="J15" s="11"/>
      <x:c r="K15" s="11"/>
      <x:c r="L15" s="11"/>
      <x:c r="M15" s="11"/>
      <x:c r="N15" s="11"/>
      <x:c r="O15" s="15" t="str">
        <x:f>IF(A15="","",IF(AND(A15&lt;&gt;"",E15&lt;&gt;"",F15&lt;&gt;"",COUNTIF($A$6:$A$35,A15)=1,COUNTIF('搜索记录'!$A$6:$A$35,B15)=1,COUNTIF('账号筛选'!$A$6:$A$25,C15)=1,COUNTIF('批次记录'!$A$6:$A$17,D15)=1),IF(INDEX('搜索记录'!$D$6:$D$35,MATCH(B15,'搜索记录'!$A$6:$A$35,0))&lt;&gt;"",1,0),0))</x:f>
      </x:c>
    </x:row>
    <x:row r="16" ht="36" customHeight="1">
      <x:c r="A16" s="11"/>
      <x:c r="B16" s="11"/>
      <x:c r="C16" s="11"/>
      <x:c r="D16" s="11"/>
      <x:c r="E16" s="11"/>
      <x:c r="F16" s="11"/>
      <x:c r="G16" s="11"/>
      <x:c r="H16" s="17"/>
      <x:c r="I16" s="17"/>
      <x:c r="J16" s="11"/>
      <x:c r="K16" s="11"/>
      <x:c r="L16" s="11"/>
      <x:c r="M16" s="11"/>
      <x:c r="N16" s="11"/>
      <x:c r="O16" s="15" t="str">
        <x:f>IF(A16="","",IF(AND(A16&lt;&gt;"",E16&lt;&gt;"",F16&lt;&gt;"",COUNTIF($A$6:$A$35,A16)=1,COUNTIF('搜索记录'!$A$6:$A$35,B16)=1,COUNTIF('账号筛选'!$A$6:$A$25,C16)=1,COUNTIF('批次记录'!$A$6:$A$17,D16)=1),IF(INDEX('搜索记录'!$D$6:$D$35,MATCH(B16,'搜索记录'!$A$6:$A$35,0))&lt;&gt;"",1,0),0))</x:f>
      </x:c>
    </x:row>
    <x:row r="17" ht="36" customHeight="1">
      <x:c r="A17" s="11"/>
      <x:c r="B17" s="11"/>
      <x:c r="C17" s="11"/>
      <x:c r="D17" s="11"/>
      <x:c r="E17" s="11"/>
      <x:c r="F17" s="11"/>
      <x:c r="G17" s="11"/>
      <x:c r="H17" s="17"/>
      <x:c r="I17" s="17"/>
      <x:c r="J17" s="11"/>
      <x:c r="K17" s="11"/>
      <x:c r="L17" s="11"/>
      <x:c r="M17" s="11"/>
      <x:c r="N17" s="11"/>
      <x:c r="O17" s="15" t="str">
        <x:f>IF(A17="","",IF(AND(A17&lt;&gt;"",E17&lt;&gt;"",F17&lt;&gt;"",COUNTIF($A$6:$A$35,A17)=1,COUNTIF('搜索记录'!$A$6:$A$35,B17)=1,COUNTIF('账号筛选'!$A$6:$A$25,C17)=1,COUNTIF('批次记录'!$A$6:$A$17,D17)=1),IF(INDEX('搜索记录'!$D$6:$D$35,MATCH(B17,'搜索记录'!$A$6:$A$35,0))&lt;&gt;"",1,0),0))</x:f>
      </x:c>
    </x:row>
    <x:row r="18" ht="36" customHeight="1">
      <x:c r="A18" s="11"/>
      <x:c r="B18" s="11"/>
      <x:c r="C18" s="11"/>
      <x:c r="D18" s="11"/>
      <x:c r="E18" s="11"/>
      <x:c r="F18" s="11"/>
      <x:c r="G18" s="11"/>
      <x:c r="H18" s="17"/>
      <x:c r="I18" s="17"/>
      <x:c r="J18" s="11"/>
      <x:c r="K18" s="11"/>
      <x:c r="L18" s="11"/>
      <x:c r="M18" s="11"/>
      <x:c r="N18" s="11"/>
      <x:c r="O18" s="15" t="str">
        <x:f>IF(A18="","",IF(AND(A18&lt;&gt;"",E18&lt;&gt;"",F18&lt;&gt;"",COUNTIF($A$6:$A$35,A18)=1,COUNTIF('搜索记录'!$A$6:$A$35,B18)=1,COUNTIF('账号筛选'!$A$6:$A$25,C18)=1,COUNTIF('批次记录'!$A$6:$A$17,D18)=1),IF(INDEX('搜索记录'!$D$6:$D$35,MATCH(B18,'搜索记录'!$A$6:$A$35,0))&lt;&gt;"",1,0),0))</x:f>
      </x:c>
    </x:row>
    <x:row r="19" ht="36" customHeight="1">
      <x:c r="A19" s="11"/>
      <x:c r="B19" s="11"/>
      <x:c r="C19" s="11"/>
      <x:c r="D19" s="11"/>
      <x:c r="E19" s="11"/>
      <x:c r="F19" s="11"/>
      <x:c r="G19" s="11"/>
      <x:c r="H19" s="17"/>
      <x:c r="I19" s="17"/>
      <x:c r="J19" s="11"/>
      <x:c r="K19" s="11"/>
      <x:c r="L19" s="11"/>
      <x:c r="M19" s="11"/>
      <x:c r="N19" s="11"/>
      <x:c r="O19" s="15" t="str">
        <x:f>IF(A19="","",IF(AND(A19&lt;&gt;"",E19&lt;&gt;"",F19&lt;&gt;"",COUNTIF($A$6:$A$35,A19)=1,COUNTIF('搜索记录'!$A$6:$A$35,B19)=1,COUNTIF('账号筛选'!$A$6:$A$25,C19)=1,COUNTIF('批次记录'!$A$6:$A$17,D19)=1),IF(INDEX('搜索记录'!$D$6:$D$35,MATCH(B19,'搜索记录'!$A$6:$A$35,0))&lt;&gt;"",1,0),0))</x:f>
      </x:c>
    </x:row>
    <x:row r="20" ht="36" customHeight="1">
      <x:c r="A20" s="11"/>
      <x:c r="B20" s="11"/>
      <x:c r="C20" s="11"/>
      <x:c r="D20" s="11"/>
      <x:c r="E20" s="11"/>
      <x:c r="F20" s="11"/>
      <x:c r="G20" s="11"/>
      <x:c r="H20" s="17"/>
      <x:c r="I20" s="17"/>
      <x:c r="J20" s="11"/>
      <x:c r="K20" s="11"/>
      <x:c r="L20" s="11"/>
      <x:c r="M20" s="11"/>
      <x:c r="N20" s="11"/>
      <x:c r="O20" s="15" t="str">
        <x:f>IF(A20="","",IF(AND(A20&lt;&gt;"",E20&lt;&gt;"",F20&lt;&gt;"",COUNTIF($A$6:$A$35,A20)=1,COUNTIF('搜索记录'!$A$6:$A$35,B20)=1,COUNTIF('账号筛选'!$A$6:$A$25,C20)=1,COUNTIF('批次记录'!$A$6:$A$17,D20)=1),IF(INDEX('搜索记录'!$D$6:$D$35,MATCH(B20,'搜索记录'!$A$6:$A$35,0))&lt;&gt;"",1,0),0))</x:f>
      </x:c>
    </x:row>
    <x:row r="21" ht="36" customHeight="1">
      <x:c r="A21" s="11"/>
      <x:c r="B21" s="11"/>
      <x:c r="C21" s="11"/>
      <x:c r="D21" s="11"/>
      <x:c r="E21" s="11"/>
      <x:c r="F21" s="11"/>
      <x:c r="G21" s="11"/>
      <x:c r="H21" s="17"/>
      <x:c r="I21" s="17"/>
      <x:c r="J21" s="11"/>
      <x:c r="K21" s="11"/>
      <x:c r="L21" s="11"/>
      <x:c r="M21" s="11"/>
      <x:c r="N21" s="11"/>
      <x:c r="O21" s="15" t="str">
        <x:f>IF(A21="","",IF(AND(A21&lt;&gt;"",E21&lt;&gt;"",F21&lt;&gt;"",COUNTIF($A$6:$A$35,A21)=1,COUNTIF('搜索记录'!$A$6:$A$35,B21)=1,COUNTIF('账号筛选'!$A$6:$A$25,C21)=1,COUNTIF('批次记录'!$A$6:$A$17,D21)=1),IF(INDEX('搜索记录'!$D$6:$D$35,MATCH(B21,'搜索记录'!$A$6:$A$35,0))&lt;&gt;"",1,0),0))</x:f>
      </x:c>
    </x:row>
    <x:row r="22" ht="36" customHeight="1">
      <x:c r="A22" s="11"/>
      <x:c r="B22" s="11"/>
      <x:c r="C22" s="11"/>
      <x:c r="D22" s="11"/>
      <x:c r="E22" s="11"/>
      <x:c r="F22" s="11"/>
      <x:c r="G22" s="11"/>
      <x:c r="H22" s="17"/>
      <x:c r="I22" s="17"/>
      <x:c r="J22" s="11"/>
      <x:c r="K22" s="11"/>
      <x:c r="L22" s="11"/>
      <x:c r="M22" s="11"/>
      <x:c r="N22" s="11"/>
      <x:c r="O22" s="15" t="str">
        <x:f>IF(A22="","",IF(AND(A22&lt;&gt;"",E22&lt;&gt;"",F22&lt;&gt;"",COUNTIF($A$6:$A$35,A22)=1,COUNTIF('搜索记录'!$A$6:$A$35,B22)=1,COUNTIF('账号筛选'!$A$6:$A$25,C22)=1,COUNTIF('批次记录'!$A$6:$A$17,D22)=1),IF(INDEX('搜索记录'!$D$6:$D$35,MATCH(B22,'搜索记录'!$A$6:$A$35,0))&lt;&gt;"",1,0),0))</x:f>
      </x:c>
    </x:row>
    <x:row r="23" ht="36" customHeight="1">
      <x:c r="A23" s="11"/>
      <x:c r="B23" s="11"/>
      <x:c r="C23" s="11"/>
      <x:c r="D23" s="11"/>
      <x:c r="E23" s="11"/>
      <x:c r="F23" s="11"/>
      <x:c r="G23" s="11"/>
      <x:c r="H23" s="17"/>
      <x:c r="I23" s="17"/>
      <x:c r="J23" s="11"/>
      <x:c r="K23" s="11"/>
      <x:c r="L23" s="11"/>
      <x:c r="M23" s="11"/>
      <x:c r="N23" s="11"/>
      <x:c r="O23" s="15" t="str">
        <x:f>IF(A23="","",IF(AND(A23&lt;&gt;"",E23&lt;&gt;"",F23&lt;&gt;"",COUNTIF($A$6:$A$35,A23)=1,COUNTIF('搜索记录'!$A$6:$A$35,B23)=1,COUNTIF('账号筛选'!$A$6:$A$25,C23)=1,COUNTIF('批次记录'!$A$6:$A$17,D23)=1),IF(INDEX('搜索记录'!$D$6:$D$35,MATCH(B23,'搜索记录'!$A$6:$A$35,0))&lt;&gt;"",1,0),0))</x:f>
      </x:c>
    </x:row>
    <x:row r="24" ht="36" customHeight="1">
      <x:c r="A24" s="11"/>
      <x:c r="B24" s="11"/>
      <x:c r="C24" s="11"/>
      <x:c r="D24" s="11"/>
      <x:c r="E24" s="11"/>
      <x:c r="F24" s="11"/>
      <x:c r="G24" s="11"/>
      <x:c r="H24" s="17"/>
      <x:c r="I24" s="17"/>
      <x:c r="J24" s="11"/>
      <x:c r="K24" s="11"/>
      <x:c r="L24" s="11"/>
      <x:c r="M24" s="11"/>
      <x:c r="N24" s="11"/>
      <x:c r="O24" s="15" t="str">
        <x:f>IF(A24="","",IF(AND(A24&lt;&gt;"",E24&lt;&gt;"",F24&lt;&gt;"",COUNTIF($A$6:$A$35,A24)=1,COUNTIF('搜索记录'!$A$6:$A$35,B24)=1,COUNTIF('账号筛选'!$A$6:$A$25,C24)=1,COUNTIF('批次记录'!$A$6:$A$17,D24)=1),IF(INDEX('搜索记录'!$D$6:$D$35,MATCH(B24,'搜索记录'!$A$6:$A$35,0))&lt;&gt;"",1,0),0))</x:f>
      </x:c>
    </x:row>
    <x:row r="25" ht="36" customHeight="1">
      <x:c r="A25" s="11"/>
      <x:c r="B25" s="11"/>
      <x:c r="C25" s="11"/>
      <x:c r="D25" s="11"/>
      <x:c r="E25" s="11"/>
      <x:c r="F25" s="11"/>
      <x:c r="G25" s="11"/>
      <x:c r="H25" s="17"/>
      <x:c r="I25" s="17"/>
      <x:c r="J25" s="11"/>
      <x:c r="K25" s="11"/>
      <x:c r="L25" s="11"/>
      <x:c r="M25" s="11"/>
      <x:c r="N25" s="11"/>
      <x:c r="O25" s="15" t="str">
        <x:f>IF(A25="","",IF(AND(A25&lt;&gt;"",E25&lt;&gt;"",F25&lt;&gt;"",COUNTIF($A$6:$A$35,A25)=1,COUNTIF('搜索记录'!$A$6:$A$35,B25)=1,COUNTIF('账号筛选'!$A$6:$A$25,C25)=1,COUNTIF('批次记录'!$A$6:$A$17,D25)=1),IF(INDEX('搜索记录'!$D$6:$D$35,MATCH(B25,'搜索记录'!$A$6:$A$35,0))&lt;&gt;"",1,0),0))</x:f>
      </x:c>
    </x:row>
    <x:row r="26" ht="36" customHeight="1">
      <x:c r="A26" s="11"/>
      <x:c r="B26" s="11"/>
      <x:c r="C26" s="11"/>
      <x:c r="D26" s="11"/>
      <x:c r="E26" s="11"/>
      <x:c r="F26" s="11"/>
      <x:c r="G26" s="11"/>
      <x:c r="H26" s="17"/>
      <x:c r="I26" s="17"/>
      <x:c r="J26" s="11"/>
      <x:c r="K26" s="11"/>
      <x:c r="L26" s="11"/>
      <x:c r="M26" s="11"/>
      <x:c r="N26" s="11"/>
      <x:c r="O26" s="15" t="str">
        <x:f>IF(A26="","",IF(AND(A26&lt;&gt;"",E26&lt;&gt;"",F26&lt;&gt;"",COUNTIF($A$6:$A$35,A26)=1,COUNTIF('搜索记录'!$A$6:$A$35,B26)=1,COUNTIF('账号筛选'!$A$6:$A$25,C26)=1,COUNTIF('批次记录'!$A$6:$A$17,D26)=1),IF(INDEX('搜索记录'!$D$6:$D$35,MATCH(B26,'搜索记录'!$A$6:$A$35,0))&lt;&gt;"",1,0),0))</x:f>
      </x:c>
    </x:row>
    <x:row r="27" ht="36" customHeight="1">
      <x:c r="A27" s="11"/>
      <x:c r="B27" s="11"/>
      <x:c r="C27" s="11"/>
      <x:c r="D27" s="11"/>
      <x:c r="E27" s="11"/>
      <x:c r="F27" s="11"/>
      <x:c r="G27" s="11"/>
      <x:c r="H27" s="17"/>
      <x:c r="I27" s="17"/>
      <x:c r="J27" s="11"/>
      <x:c r="K27" s="11"/>
      <x:c r="L27" s="11"/>
      <x:c r="M27" s="11"/>
      <x:c r="N27" s="11"/>
      <x:c r="O27" s="15" t="str">
        <x:f>IF(A27="","",IF(AND(A27&lt;&gt;"",E27&lt;&gt;"",F27&lt;&gt;"",COUNTIF($A$6:$A$35,A27)=1,COUNTIF('搜索记录'!$A$6:$A$35,B27)=1,COUNTIF('账号筛选'!$A$6:$A$25,C27)=1,COUNTIF('批次记录'!$A$6:$A$17,D27)=1),IF(INDEX('搜索记录'!$D$6:$D$35,MATCH(B27,'搜索记录'!$A$6:$A$35,0))&lt;&gt;"",1,0),0))</x:f>
      </x:c>
    </x:row>
    <x:row r="28" ht="36" customHeight="1">
      <x:c r="A28" s="11"/>
      <x:c r="B28" s="11"/>
      <x:c r="C28" s="11"/>
      <x:c r="D28" s="11"/>
      <x:c r="E28" s="11"/>
      <x:c r="F28" s="11"/>
      <x:c r="G28" s="11"/>
      <x:c r="H28" s="17"/>
      <x:c r="I28" s="17"/>
      <x:c r="J28" s="11"/>
      <x:c r="K28" s="11"/>
      <x:c r="L28" s="11"/>
      <x:c r="M28" s="11"/>
      <x:c r="N28" s="11"/>
      <x:c r="O28" s="15" t="str">
        <x:f>IF(A28="","",IF(AND(A28&lt;&gt;"",E28&lt;&gt;"",F28&lt;&gt;"",COUNTIF($A$6:$A$35,A28)=1,COUNTIF('搜索记录'!$A$6:$A$35,B28)=1,COUNTIF('账号筛选'!$A$6:$A$25,C28)=1,COUNTIF('批次记录'!$A$6:$A$17,D28)=1),IF(INDEX('搜索记录'!$D$6:$D$35,MATCH(B28,'搜索记录'!$A$6:$A$35,0))&lt;&gt;"",1,0),0))</x:f>
      </x:c>
    </x:row>
    <x:row r="29" ht="36" customHeight="1">
      <x:c r="A29" s="11"/>
      <x:c r="B29" s="11"/>
      <x:c r="C29" s="11"/>
      <x:c r="D29" s="11"/>
      <x:c r="E29" s="11"/>
      <x:c r="F29" s="11"/>
      <x:c r="G29" s="11"/>
      <x:c r="H29" s="17"/>
      <x:c r="I29" s="17"/>
      <x:c r="J29" s="11"/>
      <x:c r="K29" s="11"/>
      <x:c r="L29" s="11"/>
      <x:c r="M29" s="11"/>
      <x:c r="N29" s="11"/>
      <x:c r="O29" s="15" t="str">
        <x:f>IF(A29="","",IF(AND(A29&lt;&gt;"",E29&lt;&gt;"",F29&lt;&gt;"",COUNTIF($A$6:$A$35,A29)=1,COUNTIF('搜索记录'!$A$6:$A$35,B29)=1,COUNTIF('账号筛选'!$A$6:$A$25,C29)=1,COUNTIF('批次记录'!$A$6:$A$17,D29)=1),IF(INDEX('搜索记录'!$D$6:$D$35,MATCH(B29,'搜索记录'!$A$6:$A$35,0))&lt;&gt;"",1,0),0))</x:f>
      </x:c>
    </x:row>
    <x:row r="30" ht="36" customHeight="1">
      <x:c r="A30" s="11"/>
      <x:c r="B30" s="11"/>
      <x:c r="C30" s="11"/>
      <x:c r="D30" s="11"/>
      <x:c r="E30" s="11"/>
      <x:c r="F30" s="11"/>
      <x:c r="G30" s="11"/>
      <x:c r="H30" s="17"/>
      <x:c r="I30" s="17"/>
      <x:c r="J30" s="11"/>
      <x:c r="K30" s="11"/>
      <x:c r="L30" s="11"/>
      <x:c r="M30" s="11"/>
      <x:c r="N30" s="11"/>
      <x:c r="O30" s="15" t="str">
        <x:f>IF(A30="","",IF(AND(A30&lt;&gt;"",E30&lt;&gt;"",F30&lt;&gt;"",COUNTIF($A$6:$A$35,A30)=1,COUNTIF('搜索记录'!$A$6:$A$35,B30)=1,COUNTIF('账号筛选'!$A$6:$A$25,C30)=1,COUNTIF('批次记录'!$A$6:$A$17,D30)=1),IF(INDEX('搜索记录'!$D$6:$D$35,MATCH(B30,'搜索记录'!$A$6:$A$35,0))&lt;&gt;"",1,0),0))</x:f>
      </x:c>
    </x:row>
    <x:row r="31" ht="36" customHeight="1">
      <x:c r="A31" s="11"/>
      <x:c r="B31" s="11"/>
      <x:c r="C31" s="11"/>
      <x:c r="D31" s="11"/>
      <x:c r="E31" s="11"/>
      <x:c r="F31" s="11"/>
      <x:c r="G31" s="11"/>
      <x:c r="H31" s="17"/>
      <x:c r="I31" s="17"/>
      <x:c r="J31" s="11"/>
      <x:c r="K31" s="11"/>
      <x:c r="L31" s="11"/>
      <x:c r="M31" s="11"/>
      <x:c r="N31" s="11"/>
      <x:c r="O31" s="15" t="str">
        <x:f>IF(A31="","",IF(AND(A31&lt;&gt;"",E31&lt;&gt;"",F31&lt;&gt;"",COUNTIF($A$6:$A$35,A31)=1,COUNTIF('搜索记录'!$A$6:$A$35,B31)=1,COUNTIF('账号筛选'!$A$6:$A$25,C31)=1,COUNTIF('批次记录'!$A$6:$A$17,D31)=1),IF(INDEX('搜索记录'!$D$6:$D$35,MATCH(B31,'搜索记录'!$A$6:$A$35,0))&lt;&gt;"",1,0),0))</x:f>
      </x:c>
    </x:row>
    <x:row r="32" ht="36" customHeight="1">
      <x:c r="A32" s="11"/>
      <x:c r="B32" s="11"/>
      <x:c r="C32" s="11"/>
      <x:c r="D32" s="11"/>
      <x:c r="E32" s="11"/>
      <x:c r="F32" s="11"/>
      <x:c r="G32" s="11"/>
      <x:c r="H32" s="17"/>
      <x:c r="I32" s="17"/>
      <x:c r="J32" s="11"/>
      <x:c r="K32" s="11"/>
      <x:c r="L32" s="11"/>
      <x:c r="M32" s="11"/>
      <x:c r="N32" s="11"/>
      <x:c r="O32" s="15" t="str">
        <x:f>IF(A32="","",IF(AND(A32&lt;&gt;"",E32&lt;&gt;"",F32&lt;&gt;"",COUNTIF($A$6:$A$35,A32)=1,COUNTIF('搜索记录'!$A$6:$A$35,B32)=1,COUNTIF('账号筛选'!$A$6:$A$25,C32)=1,COUNTIF('批次记录'!$A$6:$A$17,D32)=1),IF(INDEX('搜索记录'!$D$6:$D$35,MATCH(B32,'搜索记录'!$A$6:$A$35,0))&lt;&gt;"",1,0),0))</x:f>
      </x:c>
    </x:row>
    <x:row r="33" ht="36" customHeight="1">
      <x:c r="A33" s="11"/>
      <x:c r="B33" s="11"/>
      <x:c r="C33" s="11"/>
      <x:c r="D33" s="11"/>
      <x:c r="E33" s="11"/>
      <x:c r="F33" s="11"/>
      <x:c r="G33" s="11"/>
      <x:c r="H33" s="17"/>
      <x:c r="I33" s="17"/>
      <x:c r="J33" s="11"/>
      <x:c r="K33" s="11"/>
      <x:c r="L33" s="11"/>
      <x:c r="M33" s="11"/>
      <x:c r="N33" s="11"/>
      <x:c r="O33" s="15" t="str">
        <x:f>IF(A33="","",IF(AND(A33&lt;&gt;"",E33&lt;&gt;"",F33&lt;&gt;"",COUNTIF($A$6:$A$35,A33)=1,COUNTIF('搜索记录'!$A$6:$A$35,B33)=1,COUNTIF('账号筛选'!$A$6:$A$25,C33)=1,COUNTIF('批次记录'!$A$6:$A$17,D33)=1),IF(INDEX('搜索记录'!$D$6:$D$35,MATCH(B33,'搜索记录'!$A$6:$A$35,0))&lt;&gt;"",1,0),0))</x:f>
      </x:c>
    </x:row>
    <x:row r="34" ht="36" customHeight="1">
      <x:c r="A34" s="11"/>
      <x:c r="B34" s="11"/>
      <x:c r="C34" s="11"/>
      <x:c r="D34" s="11"/>
      <x:c r="E34" s="11"/>
      <x:c r="F34" s="11"/>
      <x:c r="G34" s="11"/>
      <x:c r="H34" s="17"/>
      <x:c r="I34" s="17"/>
      <x:c r="J34" s="11"/>
      <x:c r="K34" s="11"/>
      <x:c r="L34" s="11"/>
      <x:c r="M34" s="11"/>
      <x:c r="N34" s="11"/>
      <x:c r="O34" s="15" t="str">
        <x:f>IF(A34="","",IF(AND(A34&lt;&gt;"",E34&lt;&gt;"",F34&lt;&gt;"",COUNTIF($A$6:$A$35,A34)=1,COUNTIF('搜索记录'!$A$6:$A$35,B34)=1,COUNTIF('账号筛选'!$A$6:$A$25,C34)=1,COUNTIF('批次记录'!$A$6:$A$17,D34)=1),IF(INDEX('搜索记录'!$D$6:$D$35,MATCH(B34,'搜索记录'!$A$6:$A$35,0))&lt;&gt;"",1,0),0))</x:f>
      </x:c>
    </x:row>
    <x:row r="35" ht="36" customHeight="1">
      <x:c r="A35" s="11"/>
      <x:c r="B35" s="11"/>
      <x:c r="C35" s="11"/>
      <x:c r="D35" s="11"/>
      <x:c r="E35" s="11"/>
      <x:c r="F35" s="11"/>
      <x:c r="G35" s="11"/>
      <x:c r="H35" s="17"/>
      <x:c r="I35" s="17"/>
      <x:c r="J35" s="11"/>
      <x:c r="K35" s="11"/>
      <x:c r="L35" s="11"/>
      <x:c r="M35" s="11"/>
      <x:c r="N35" s="11"/>
      <x:c r="O35" s="15" t="str">
        <x:f>IF(A35="","",IF(AND(A35&lt;&gt;"",E35&lt;&gt;"",F35&lt;&gt;"",COUNTIF($A$6:$A$35,A35)=1,COUNTIF('搜索记录'!$A$6:$A$35,B35)=1,COUNTIF('账号筛选'!$A$6:$A$25,C35)=1,COUNTIF('批次记录'!$A$6:$A$17,D35)=1),IF(INDEX('搜索记录'!$D$6:$D$35,MATCH(B35,'搜索记录'!$A$6:$A$35,0))&lt;&gt;"",1,0),0))</x:f>
      </x:c>
    </x:row>
  </x:sheetData>
  <x:dataValidations count="2">
    <x:dataValidation type="list" sqref="G6:G35">
      <x:formula1>"图文,视频"</x:formula1>
    </x:dataValidation>
    <x:dataValidation type="list" sqref="M6:M35">
      <x:formula1>"候选,选入深入,已研究,排除,待补证"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baf125e8aa4462"/>
  </x:tableParts>
</x:worksheet>
</file>

<file path=xl/worksheets/sheet6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8" hidden="0" customWidth="1"/>
    <x:col min="9" max="9" width="45" hidden="0" customWidth="1"/>
    <x:col min="10" max="10" width="16" hidden="0" customWidth="1"/>
    <x:col min="11" max="11" width="12" hidden="0" customWidth="1"/>
    <x:col min="12" max="12" width="12" hidden="0" customWidth="1"/>
    <x:col min="13" max="13" width="32" hidden="0" customWidth="1"/>
    <x:col min="14" max="14" width="14" hidden="0" customWidth="1"/>
    <x:col min="15" max="15" width="14" hidden="0" customWidth="1"/>
    <x:col min="16" max="16" width="3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22" hidden="0" customWidth="1"/>
    <x:col min="27" max="2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评论证据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42" customHeight="1">
      <x:c r="A5" s="8" t="str">
        <x:v>观察OID</x:v>
      </x:c>
      <x:c r="B5" s="8" t="str">
        <x:v>批次BID</x:v>
      </x:c>
      <x:c r="C5" s="8" t="str">
        <x:v>统计范围</x:v>
      </x:c>
      <x:c r="D5" s="8" t="str">
        <x:v>规范CID</x:v>
      </x:c>
      <x:c r="E5" s="8" t="str">
        <x:v>笔记NID</x:v>
      </x:c>
      <x:c r="F5" s="8" t="str">
        <x:v>证据EID</x:v>
      </x:c>
      <x:c r="G5" s="8" t="str">
        <x:v>观察时间</x:v>
      </x:c>
      <x:c r="H5" s="8" t="str">
        <x:v>排序位置回复结构</x:v>
      </x:c>
      <x:c r="I5" s="8" t="str">
        <x:v>必要脱敏原话或概述</x:v>
      </x:c>
      <x:c r="J5" s="8" t="str">
        <x:v>归并状态</x:v>
      </x:c>
      <x:c r="K5" s="8" t="str">
        <x:v>来源完整</x:v>
      </x:c>
      <x:c r="L5" s="8" t="str">
        <x:v>隐私安全</x:v>
      </x:c>
      <x:c r="M5" s="8" t="str">
        <x:v>排除或限制原因</x:v>
      </x:c>
      <x:c r="N5" s="8" t="str">
        <x:v>可见互动</x:v>
      </x:c>
      <x:c r="O5" s="8" t="str">
        <x:v>顶层或回复</x:v>
      </x:c>
      <x:c r="P5" s="8" t="str">
        <x:v>去重判定依据</x:v>
      </x:c>
      <x:c r="Q5" s="8" t="str">
        <x:v>研究观察计数</x:v>
      </x:c>
      <x:c r="R5" s="8" t="str">
        <x:v>累计首见计数</x:v>
      </x:c>
      <x:c r="S5" s="8" t="str">
        <x:v>批内首见计数</x:v>
      </x:c>
      <x:c r="T5" s="8" t="str">
        <x:v>来源可用</x:v>
      </x:c>
      <x:c r="U5" s="8" t="str">
        <x:v>累计可定位数</x:v>
      </x:c>
      <x:c r="V5" s="8" t="str">
        <x:v>有效累计计数</x:v>
      </x:c>
      <x:c r="W5" s="8" t="str">
        <x:v>有效本批计数</x:v>
      </x:c>
      <x:c r="X5" s="8" t="str">
        <x:v>未判重计数</x:v>
      </x:c>
      <x:c r="Y5" s="8" t="str">
        <x:v>输入关联问题</x:v>
      </x:c>
      <x:c r="Z5" s="14" t="str">
        <x:v>评论类型</x:v>
      </x:c>
      <x:c r="AA5" s="8" t="str">
        <x:v>可复核研究CID</x:v>
      </x:c>
    </x:row>
    <x:row r="6" ht="36" customHeight="1">
      <x:c r="A6" s="11"/>
      <x:c r="B6" s="11"/>
      <x:c r="C6" s="11"/>
      <x:c r="D6" s="11"/>
      <x:c r="E6" s="11"/>
      <x:c r="F6" s="11"/>
      <x:c r="G6" s="17"/>
      <x:c r="H6" s="11"/>
      <x:c r="I6" s="11"/>
      <x:c r="J6" s="11"/>
      <x:c r="K6" s="11"/>
      <x:c r="L6" s="11"/>
      <x:c r="M6" s="11"/>
      <x:c r="N6" s="11"/>
      <x:c r="O6" s="11"/>
      <x:c r="P6" s="11"/>
      <x:c r="Q6" s="16" t="str">
        <x:f>IF(A6="","",IF(C6="研究",1,0))</x:f>
      </x:c>
      <x:c r="R6" s="16" t="str">
        <x:f>IF(OR(A6="",C6&lt;&gt;"研究",D6="",J6&lt;&gt;"已判定"),"",IF(COUNTIFS($D$6:D6,D6,$C$6:C6,"研究",$J$6:J6,"已判定")=1,1,0))</x:f>
      </x:c>
      <x:c r="S6" s="16" t="str">
        <x:f>IF(OR(A6="",C6&lt;&gt;"研究",D6="",J6&lt;&gt;"已判定"),"",IF(COUNTIFS($D$6:D6,D6,$B$6:B6,B6,$C$6:C6,"研究",$J$6:J6,"已判定")=1,1,0))</x:f>
      </x:c>
      <x:c r="T6" s="16" t="str">
        <x:f>IF(A6="","",IF(AND(D6&lt;&gt;"",J6="已判定",K6="是",L6="是",COUNTIF('笔记筛选'!$A$6:$A$35,E6)=1,COUNTIF('批次记录'!$A$6:$A$17,B6)=1,COUNTIF('证据索引'!$A$6:$A$105,F6)=1),IF(AND(INDEX('笔记筛选'!$O$6:$O$35,MATCH(E6,'笔记筛选'!$A$6:$A$35,0))=1,INDEX('证据索引'!$H$6:$H$105,MATCH(F6,'证据索引'!$A$6:$A$105,0))="可定位",INDEX('证据索引'!$F$6:$F$105,MATCH(F6,'证据索引'!$A$6:$A$105,0))="是",INDEX('证据索引'!$B$6:$B$105,MATCH(F6,'证据索引'!$A$6:$A$105,0))=E6),1,0),0))</x:f>
      </x:c>
      <x:c r="U6" s="16" t="str">
        <x:f>IF(R6="","",IF(AND(R6=1,COUNTIF($AA$6:$AA$205,D6)&gt;0),1,0))</x:f>
      </x:c>
      <x:c r="V6" s="16" t="str">
        <x:f>IF(R6="","",IF(AND(R6=1,COUNTIFS('问题评论关联'!$C$6:$C$205,D6,'问题评论关联'!$G$6:$G$205,1)&gt;0),1,0))</x:f>
      </x:c>
      <x:c r="W6" s="16" t="str">
        <x:f>IF(S6="","",IF(AND(S6=1,COUNTIFS('问题评论关联'!$C$6:$C$205,D6,'问题评论关联'!$G$6:$G$205,1)&gt;0),1,0))</x:f>
      </x:c>
      <x:c r="X6" s="16" t="str">
        <x:f>IF(A6="","",IF(AND(C6="研究",OR(D6="",J6&lt;&gt;"已判定")),1,0))</x:f>
      </x:c>
      <x:c r="Y6" s="16" t="str">
        <x:f>IF(A6="","",IF(COUNTIF('批次记录'!$A$6:$A$17,B6)&lt;&gt;1,"批次缺失或重复",IF(COUNTIF('笔记筛选'!$A$6:$A$35,E6)&lt;&gt;1,"笔记缺失或重复",IF(AND(K6="是",COUNTIF('证据索引'!$A$6:$A$105,F6)&lt;&gt;1),"证据缺失或重复",""))))</x:f>
      </x:c>
      <x:c r="Z6"/>
      <x:c r="AA6" s="16" t="str">
        <x:f>IF(A6="","",IF(AND(C6="研究",T6=1),D6,""))</x:f>
      </x:c>
    </x:row>
    <x:row r="7" ht="36" customHeight="1">
      <x:c r="A7" s="11"/>
      <x:c r="B7" s="11"/>
      <x:c r="C7" s="11"/>
      <x:c r="D7" s="11"/>
      <x:c r="E7" s="11"/>
      <x:c r="F7" s="11"/>
      <x:c r="G7" s="17"/>
      <x:c r="H7" s="11"/>
      <x:c r="I7" s="11"/>
      <x:c r="J7" s="11"/>
      <x:c r="K7" s="11"/>
      <x:c r="L7" s="11"/>
      <x:c r="M7" s="11"/>
      <x:c r="N7" s="11"/>
      <x:c r="O7" s="11"/>
      <x:c r="P7" s="11"/>
      <x:c r="Q7" s="16" t="str">
        <x:f>IF(A7="","",IF(C7="研究",1,0))</x:f>
      </x:c>
      <x:c r="R7" s="16" t="str">
        <x:f>IF(OR(A7="",C7&lt;&gt;"研究",D7="",J7&lt;&gt;"已判定"),"",IF(COUNTIFS($D$6:D7,D7,$C$6:C7,"研究",$J$6:J7,"已判定")=1,1,0))</x:f>
      </x:c>
      <x:c r="S7" s="16" t="str">
        <x:f>IF(OR(A7="",C7&lt;&gt;"研究",D7="",J7&lt;&gt;"已判定"),"",IF(COUNTIFS($D$6:D7,D7,$B$6:B7,B7,$C$6:C7,"研究",$J$6:J7,"已判定")=1,1,0))</x:f>
      </x:c>
      <x:c r="T7" s="16" t="str">
        <x:f>IF(A7="","",IF(AND(D7&lt;&gt;"",J7="已判定",K7="是",L7="是",COUNTIF('笔记筛选'!$A$6:$A$35,E7)=1,COUNTIF('批次记录'!$A$6:$A$17,B7)=1,COUNTIF('证据索引'!$A$6:$A$105,F7)=1),IF(AND(INDEX('笔记筛选'!$O$6:$O$35,MATCH(E7,'笔记筛选'!$A$6:$A$35,0))=1,INDEX('证据索引'!$H$6:$H$105,MATCH(F7,'证据索引'!$A$6:$A$105,0))="可定位",INDEX('证据索引'!$F$6:$F$105,MATCH(F7,'证据索引'!$A$6:$A$105,0))="是",INDEX('证据索引'!$B$6:$B$105,MATCH(F7,'证据索引'!$A$6:$A$105,0))=E7),1,0),0))</x:f>
      </x:c>
      <x:c r="U7" s="16" t="str">
        <x:f>IF(R7="","",IF(AND(R7=1,COUNTIF($AA$6:$AA$205,D7)&gt;0),1,0))</x:f>
      </x:c>
      <x:c r="V7" s="16" t="str">
        <x:f>IF(R7="","",IF(AND(R7=1,COUNTIFS('问题评论关联'!$C$6:$C$205,D7,'问题评论关联'!$G$6:$G$205,1)&gt;0),1,0))</x:f>
      </x:c>
      <x:c r="W7" s="16" t="str">
        <x:f>IF(S7="","",IF(AND(S7=1,COUNTIFS('问题评论关联'!$C$6:$C$205,D7,'问题评论关联'!$G$6:$G$205,1)&gt;0),1,0))</x:f>
      </x:c>
      <x:c r="X7" s="16" t="str">
        <x:f>IF(A7="","",IF(AND(C7="研究",OR(D7="",J7&lt;&gt;"已判定")),1,0))</x:f>
      </x:c>
      <x:c r="Y7" s="16" t="str">
        <x:f>IF(A7="","",IF(COUNTIF('批次记录'!$A$6:$A$17,B7)&lt;&gt;1,"批次缺失或重复",IF(COUNTIF('笔记筛选'!$A$6:$A$35,E7)&lt;&gt;1,"笔记缺失或重复",IF(AND(K7="是",COUNTIF('证据索引'!$A$6:$A$105,F7)&lt;&gt;1),"证据缺失或重复",""))))</x:f>
      </x:c>
      <x:c r="Z7"/>
      <x:c r="AA7" s="16" t="str">
        <x:f>IF(A7="","",IF(AND(C7="研究",T7=1),D7,""))</x:f>
      </x:c>
    </x:row>
    <x:row r="8" ht="36" customHeight="1">
      <x:c r="A8" s="11"/>
      <x:c r="B8" s="11"/>
      <x:c r="C8" s="11"/>
      <x:c r="D8" s="11"/>
      <x:c r="E8" s="11"/>
      <x:c r="F8" s="11"/>
      <x:c r="G8" s="17"/>
      <x:c r="H8" s="11"/>
      <x:c r="I8" s="11"/>
      <x:c r="J8" s="11"/>
      <x:c r="K8" s="11"/>
      <x:c r="L8" s="11"/>
      <x:c r="M8" s="11"/>
      <x:c r="N8" s="11"/>
      <x:c r="O8" s="11"/>
      <x:c r="P8" s="11"/>
      <x:c r="Q8" s="16" t="str">
        <x:f>IF(A8="","",IF(C8="研究",1,0))</x:f>
      </x:c>
      <x:c r="R8" s="16" t="str">
        <x:f>IF(OR(A8="",C8&lt;&gt;"研究",D8="",J8&lt;&gt;"已判定"),"",IF(COUNTIFS($D$6:D8,D8,$C$6:C8,"研究",$J$6:J8,"已判定")=1,1,0))</x:f>
      </x:c>
      <x:c r="S8" s="16" t="str">
        <x:f>IF(OR(A8="",C8&lt;&gt;"研究",D8="",J8&lt;&gt;"已判定"),"",IF(COUNTIFS($D$6:D8,D8,$B$6:B8,B8,$C$6:C8,"研究",$J$6:J8,"已判定")=1,1,0))</x:f>
      </x:c>
      <x:c r="T8" s="16" t="str">
        <x:f>IF(A8="","",IF(AND(D8&lt;&gt;"",J8="已判定",K8="是",L8="是",COUNTIF('笔记筛选'!$A$6:$A$35,E8)=1,COUNTIF('批次记录'!$A$6:$A$17,B8)=1,COUNTIF('证据索引'!$A$6:$A$105,F8)=1),IF(AND(INDEX('笔记筛选'!$O$6:$O$35,MATCH(E8,'笔记筛选'!$A$6:$A$35,0))=1,INDEX('证据索引'!$H$6:$H$105,MATCH(F8,'证据索引'!$A$6:$A$105,0))="可定位",INDEX('证据索引'!$F$6:$F$105,MATCH(F8,'证据索引'!$A$6:$A$105,0))="是",INDEX('证据索引'!$B$6:$B$105,MATCH(F8,'证据索引'!$A$6:$A$105,0))=E8),1,0),0))</x:f>
      </x:c>
      <x:c r="U8" s="16" t="str">
        <x:f>IF(R8="","",IF(AND(R8=1,COUNTIF($AA$6:$AA$205,D8)&gt;0),1,0))</x:f>
      </x:c>
      <x:c r="V8" s="16" t="str">
        <x:f>IF(R8="","",IF(AND(R8=1,COUNTIFS('问题评论关联'!$C$6:$C$205,D8,'问题评论关联'!$G$6:$G$205,1)&gt;0),1,0))</x:f>
      </x:c>
      <x:c r="W8" s="16" t="str">
        <x:f>IF(S8="","",IF(AND(S8=1,COUNTIFS('问题评论关联'!$C$6:$C$205,D8,'问题评论关联'!$G$6:$G$205,1)&gt;0),1,0))</x:f>
      </x:c>
      <x:c r="X8" s="16" t="str">
        <x:f>IF(A8="","",IF(AND(C8="研究",OR(D8="",J8&lt;&gt;"已判定")),1,0))</x:f>
      </x:c>
      <x:c r="Y8" s="16" t="str">
        <x:f>IF(A8="","",IF(COUNTIF('批次记录'!$A$6:$A$17,B8)&lt;&gt;1,"批次缺失或重复",IF(COUNTIF('笔记筛选'!$A$6:$A$35,E8)&lt;&gt;1,"笔记缺失或重复",IF(AND(K8="是",COUNTIF('证据索引'!$A$6:$A$105,F8)&lt;&gt;1),"证据缺失或重复",""))))</x:f>
      </x:c>
      <x:c r="Z8"/>
      <x:c r="AA8" s="16" t="str">
        <x:f>IF(A8="","",IF(AND(C8="研究",T8=1),D8,""))</x:f>
      </x:c>
    </x:row>
    <x:row r="9" ht="36" customHeight="1">
      <x:c r="A9" s="11"/>
      <x:c r="B9" s="11"/>
      <x:c r="C9" s="11"/>
      <x:c r="D9" s="11"/>
      <x:c r="E9" s="11"/>
      <x:c r="F9" s="11"/>
      <x:c r="G9" s="17"/>
      <x:c r="H9" s="11"/>
      <x:c r="I9" s="11"/>
      <x:c r="J9" s="11"/>
      <x:c r="K9" s="11"/>
      <x:c r="L9" s="11"/>
      <x:c r="M9" s="11"/>
      <x:c r="N9" s="11"/>
      <x:c r="O9" s="11"/>
      <x:c r="P9" s="11"/>
      <x:c r="Q9" s="16" t="str">
        <x:f>IF(A9="","",IF(C9="研究",1,0))</x:f>
      </x:c>
      <x:c r="R9" s="16" t="str">
        <x:f>IF(OR(A9="",C9&lt;&gt;"研究",D9="",J9&lt;&gt;"已判定"),"",IF(COUNTIFS($D$6:D9,D9,$C$6:C9,"研究",$J$6:J9,"已判定")=1,1,0))</x:f>
      </x:c>
      <x:c r="S9" s="16" t="str">
        <x:f>IF(OR(A9="",C9&lt;&gt;"研究",D9="",J9&lt;&gt;"已判定"),"",IF(COUNTIFS($D$6:D9,D9,$B$6:B9,B9,$C$6:C9,"研究",$J$6:J9,"已判定")=1,1,0))</x:f>
      </x:c>
      <x:c r="T9" s="16" t="str">
        <x:f>IF(A9="","",IF(AND(D9&lt;&gt;"",J9="已判定",K9="是",L9="是",COUNTIF('笔记筛选'!$A$6:$A$35,E9)=1,COUNTIF('批次记录'!$A$6:$A$17,B9)=1,COUNTIF('证据索引'!$A$6:$A$105,F9)=1),IF(AND(INDEX('笔记筛选'!$O$6:$O$35,MATCH(E9,'笔记筛选'!$A$6:$A$35,0))=1,INDEX('证据索引'!$H$6:$H$105,MATCH(F9,'证据索引'!$A$6:$A$105,0))="可定位",INDEX('证据索引'!$F$6:$F$105,MATCH(F9,'证据索引'!$A$6:$A$105,0))="是",INDEX('证据索引'!$B$6:$B$105,MATCH(F9,'证据索引'!$A$6:$A$105,0))=E9),1,0),0))</x:f>
      </x:c>
      <x:c r="U9" s="16" t="str">
        <x:f>IF(R9="","",IF(AND(R9=1,COUNTIF($AA$6:$AA$205,D9)&gt;0),1,0))</x:f>
      </x:c>
      <x:c r="V9" s="16" t="str">
        <x:f>IF(R9="","",IF(AND(R9=1,COUNTIFS('问题评论关联'!$C$6:$C$205,D9,'问题评论关联'!$G$6:$G$205,1)&gt;0),1,0))</x:f>
      </x:c>
      <x:c r="W9" s="16" t="str">
        <x:f>IF(S9="","",IF(AND(S9=1,COUNTIFS('问题评论关联'!$C$6:$C$205,D9,'问题评论关联'!$G$6:$G$205,1)&gt;0),1,0))</x:f>
      </x:c>
      <x:c r="X9" s="16" t="str">
        <x:f>IF(A9="","",IF(AND(C9="研究",OR(D9="",J9&lt;&gt;"已判定")),1,0))</x:f>
      </x:c>
      <x:c r="Y9" s="16" t="str">
        <x:f>IF(A9="","",IF(COUNTIF('批次记录'!$A$6:$A$17,B9)&lt;&gt;1,"批次缺失或重复",IF(COUNTIF('笔记筛选'!$A$6:$A$35,E9)&lt;&gt;1,"笔记缺失或重复",IF(AND(K9="是",COUNTIF('证据索引'!$A$6:$A$105,F9)&lt;&gt;1),"证据缺失或重复",""))))</x:f>
      </x:c>
      <x:c r="Z9"/>
      <x:c r="AA9" s="16" t="str">
        <x:f>IF(A9="","",IF(AND(C9="研究",T9=1),D9,""))</x:f>
      </x:c>
    </x:row>
    <x:row r="10" ht="36" customHeight="1">
      <x:c r="A10" s="11"/>
      <x:c r="B10" s="11"/>
      <x:c r="C10" s="11"/>
      <x:c r="D10" s="11"/>
      <x:c r="E10" s="11"/>
      <x:c r="F10" s="11"/>
      <x:c r="G10" s="17"/>
      <x:c r="H10" s="11"/>
      <x:c r="I10" s="11"/>
      <x:c r="J10" s="11"/>
      <x:c r="K10" s="11"/>
      <x:c r="L10" s="11"/>
      <x:c r="M10" s="11"/>
      <x:c r="N10" s="11"/>
      <x:c r="O10" s="11"/>
      <x:c r="P10" s="11"/>
      <x:c r="Q10" s="16" t="str">
        <x:f>IF(A10="","",IF(C10="研究",1,0))</x:f>
      </x:c>
      <x:c r="R10" s="16" t="str">
        <x:f>IF(OR(A10="",C10&lt;&gt;"研究",D10="",J10&lt;&gt;"已判定"),"",IF(COUNTIFS($D$6:D10,D10,$C$6:C10,"研究",$J$6:J10,"已判定")=1,1,0))</x:f>
      </x:c>
      <x:c r="S10" s="16" t="str">
        <x:f>IF(OR(A10="",C10&lt;&gt;"研究",D10="",J10&lt;&gt;"已判定"),"",IF(COUNTIFS($D$6:D10,D10,$B$6:B10,B10,$C$6:C10,"研究",$J$6:J10,"已判定")=1,1,0))</x:f>
      </x:c>
      <x:c r="T10" s="16" t="str">
        <x:f>IF(A10="","",IF(AND(D10&lt;&gt;"",J10="已判定",K10="是",L10="是",COUNTIF('笔记筛选'!$A$6:$A$35,E10)=1,COUNTIF('批次记录'!$A$6:$A$17,B10)=1,COUNTIF('证据索引'!$A$6:$A$105,F10)=1),IF(AND(INDEX('笔记筛选'!$O$6:$O$35,MATCH(E10,'笔记筛选'!$A$6:$A$35,0))=1,INDEX('证据索引'!$H$6:$H$105,MATCH(F10,'证据索引'!$A$6:$A$105,0))="可定位",INDEX('证据索引'!$F$6:$F$105,MATCH(F10,'证据索引'!$A$6:$A$105,0))="是",INDEX('证据索引'!$B$6:$B$105,MATCH(F10,'证据索引'!$A$6:$A$105,0))=E10),1,0),0))</x:f>
      </x:c>
      <x:c r="U10" s="16" t="str">
        <x:f>IF(R10="","",IF(AND(R10=1,COUNTIF($AA$6:$AA$205,D10)&gt;0),1,0))</x:f>
      </x:c>
      <x:c r="V10" s="16" t="str">
        <x:f>IF(R10="","",IF(AND(R10=1,COUNTIFS('问题评论关联'!$C$6:$C$205,D10,'问题评论关联'!$G$6:$G$205,1)&gt;0),1,0))</x:f>
      </x:c>
      <x:c r="W10" s="16" t="str">
        <x:f>IF(S10="","",IF(AND(S10=1,COUNTIFS('问题评论关联'!$C$6:$C$205,D10,'问题评论关联'!$G$6:$G$205,1)&gt;0),1,0))</x:f>
      </x:c>
      <x:c r="X10" s="16" t="str">
        <x:f>IF(A10="","",IF(AND(C10="研究",OR(D10="",J10&lt;&gt;"已判定")),1,0))</x:f>
      </x:c>
      <x:c r="Y10" s="16" t="str">
        <x:f>IF(A10="","",IF(COUNTIF('批次记录'!$A$6:$A$17,B10)&lt;&gt;1,"批次缺失或重复",IF(COUNTIF('笔记筛选'!$A$6:$A$35,E10)&lt;&gt;1,"笔记缺失或重复",IF(AND(K10="是",COUNTIF('证据索引'!$A$6:$A$105,F10)&lt;&gt;1),"证据缺失或重复",""))))</x:f>
      </x:c>
      <x:c r="Z10"/>
      <x:c r="AA10" s="16" t="str">
        <x:f>IF(A10="","",IF(AND(C10="研究",T10=1),D10,""))</x:f>
      </x:c>
    </x:row>
    <x:row r="11" ht="36" customHeight="1">
      <x:c r="A11" s="11"/>
      <x:c r="B11" s="11"/>
      <x:c r="C11" s="11"/>
      <x:c r="D11" s="11"/>
      <x:c r="E11" s="11"/>
      <x:c r="F11" s="11"/>
      <x:c r="G11" s="17"/>
      <x:c r="H11" s="11"/>
      <x:c r="I11" s="11"/>
      <x:c r="J11" s="11"/>
      <x:c r="K11" s="11"/>
      <x:c r="L11" s="11"/>
      <x:c r="M11" s="11"/>
      <x:c r="N11" s="11"/>
      <x:c r="O11" s="11"/>
      <x:c r="P11" s="11"/>
      <x:c r="Q11" s="16" t="str">
        <x:f>IF(A11="","",IF(C11="研究",1,0))</x:f>
      </x:c>
      <x:c r="R11" s="16" t="str">
        <x:f>IF(OR(A11="",C11&lt;&gt;"研究",D11="",J11&lt;&gt;"已判定"),"",IF(COUNTIFS($D$6:D11,D11,$C$6:C11,"研究",$J$6:J11,"已判定")=1,1,0))</x:f>
      </x:c>
      <x:c r="S11" s="16" t="str">
        <x:f>IF(OR(A11="",C11&lt;&gt;"研究",D11="",J11&lt;&gt;"已判定"),"",IF(COUNTIFS($D$6:D11,D11,$B$6:B11,B11,$C$6:C11,"研究",$J$6:J11,"已判定")=1,1,0))</x:f>
      </x:c>
      <x:c r="T11" s="16" t="str">
        <x:f>IF(A11="","",IF(AND(D11&lt;&gt;"",J11="已判定",K11="是",L11="是",COUNTIF('笔记筛选'!$A$6:$A$35,E11)=1,COUNTIF('批次记录'!$A$6:$A$17,B11)=1,COUNTIF('证据索引'!$A$6:$A$105,F11)=1),IF(AND(INDEX('笔记筛选'!$O$6:$O$35,MATCH(E11,'笔记筛选'!$A$6:$A$35,0))=1,INDEX('证据索引'!$H$6:$H$105,MATCH(F11,'证据索引'!$A$6:$A$105,0))="可定位",INDEX('证据索引'!$F$6:$F$105,MATCH(F11,'证据索引'!$A$6:$A$105,0))="是",INDEX('证据索引'!$B$6:$B$105,MATCH(F11,'证据索引'!$A$6:$A$105,0))=E11),1,0),0))</x:f>
      </x:c>
      <x:c r="U11" s="16" t="str">
        <x:f>IF(R11="","",IF(AND(R11=1,COUNTIF($AA$6:$AA$205,D11)&gt;0),1,0))</x:f>
      </x:c>
      <x:c r="V11" s="16" t="str">
        <x:f>IF(R11="","",IF(AND(R11=1,COUNTIFS('问题评论关联'!$C$6:$C$205,D11,'问题评论关联'!$G$6:$G$205,1)&gt;0),1,0))</x:f>
      </x:c>
      <x:c r="W11" s="16" t="str">
        <x:f>IF(S11="","",IF(AND(S11=1,COUNTIFS('问题评论关联'!$C$6:$C$205,D11,'问题评论关联'!$G$6:$G$205,1)&gt;0),1,0))</x:f>
      </x:c>
      <x:c r="X11" s="16" t="str">
        <x:f>IF(A11="","",IF(AND(C11="研究",OR(D11="",J11&lt;&gt;"已判定")),1,0))</x:f>
      </x:c>
      <x:c r="Y11" s="16" t="str">
        <x:f>IF(A11="","",IF(COUNTIF('批次记录'!$A$6:$A$17,B11)&lt;&gt;1,"批次缺失或重复",IF(COUNTIF('笔记筛选'!$A$6:$A$35,E11)&lt;&gt;1,"笔记缺失或重复",IF(AND(K11="是",COUNTIF('证据索引'!$A$6:$A$105,F11)&lt;&gt;1),"证据缺失或重复",""))))</x:f>
      </x:c>
      <x:c r="Z11"/>
      <x:c r="AA11" s="16" t="str">
        <x:f>IF(A11="","",IF(AND(C11="研究",T11=1),D11,""))</x:f>
      </x:c>
    </x:row>
    <x:row r="12" ht="36" customHeight="1">
      <x:c r="A12" s="11"/>
      <x:c r="B12" s="11"/>
      <x:c r="C12" s="11"/>
      <x:c r="D12" s="11"/>
      <x:c r="E12" s="11"/>
      <x:c r="F12" s="11"/>
      <x:c r="G12" s="17"/>
      <x:c r="H12" s="11"/>
      <x:c r="I12" s="11"/>
      <x:c r="J12" s="11"/>
      <x:c r="K12" s="11"/>
      <x:c r="L12" s="11"/>
      <x:c r="M12" s="11"/>
      <x:c r="N12" s="11"/>
      <x:c r="O12" s="11"/>
      <x:c r="P12" s="11"/>
      <x:c r="Q12" s="16" t="str">
        <x:f>IF(A12="","",IF(C12="研究",1,0))</x:f>
      </x:c>
      <x:c r="R12" s="16" t="str">
        <x:f>IF(OR(A12="",C12&lt;&gt;"研究",D12="",J12&lt;&gt;"已判定"),"",IF(COUNTIFS($D$6:D12,D12,$C$6:C12,"研究",$J$6:J12,"已判定")=1,1,0))</x:f>
      </x:c>
      <x:c r="S12" s="16" t="str">
        <x:f>IF(OR(A12="",C12&lt;&gt;"研究",D12="",J12&lt;&gt;"已判定"),"",IF(COUNTIFS($D$6:D12,D12,$B$6:B12,B12,$C$6:C12,"研究",$J$6:J12,"已判定")=1,1,0))</x:f>
      </x:c>
      <x:c r="T12" s="16" t="str">
        <x:f>IF(A12="","",IF(AND(D12&lt;&gt;"",J12="已判定",K12="是",L12="是",COUNTIF('笔记筛选'!$A$6:$A$35,E12)=1,COUNTIF('批次记录'!$A$6:$A$17,B12)=1,COUNTIF('证据索引'!$A$6:$A$105,F12)=1),IF(AND(INDEX('笔记筛选'!$O$6:$O$35,MATCH(E12,'笔记筛选'!$A$6:$A$35,0))=1,INDEX('证据索引'!$H$6:$H$105,MATCH(F12,'证据索引'!$A$6:$A$105,0))="可定位",INDEX('证据索引'!$F$6:$F$105,MATCH(F12,'证据索引'!$A$6:$A$105,0))="是",INDEX('证据索引'!$B$6:$B$105,MATCH(F12,'证据索引'!$A$6:$A$105,0))=E12),1,0),0))</x:f>
      </x:c>
      <x:c r="U12" s="16" t="str">
        <x:f>IF(R12="","",IF(AND(R12=1,COUNTIF($AA$6:$AA$205,D12)&gt;0),1,0))</x:f>
      </x:c>
      <x:c r="V12" s="16" t="str">
        <x:f>IF(R12="","",IF(AND(R12=1,COUNTIFS('问题评论关联'!$C$6:$C$205,D12,'问题评论关联'!$G$6:$G$205,1)&gt;0),1,0))</x:f>
      </x:c>
      <x:c r="W12" s="16" t="str">
        <x:f>IF(S12="","",IF(AND(S12=1,COUNTIFS('问题评论关联'!$C$6:$C$205,D12,'问题评论关联'!$G$6:$G$205,1)&gt;0),1,0))</x:f>
      </x:c>
      <x:c r="X12" s="16" t="str">
        <x:f>IF(A12="","",IF(AND(C12="研究",OR(D12="",J12&lt;&gt;"已判定")),1,0))</x:f>
      </x:c>
      <x:c r="Y12" s="16" t="str">
        <x:f>IF(A12="","",IF(COUNTIF('批次记录'!$A$6:$A$17,B12)&lt;&gt;1,"批次缺失或重复",IF(COUNTIF('笔记筛选'!$A$6:$A$35,E12)&lt;&gt;1,"笔记缺失或重复",IF(AND(K12="是",COUNTIF('证据索引'!$A$6:$A$105,F12)&lt;&gt;1),"证据缺失或重复",""))))</x:f>
      </x:c>
      <x:c r="Z12"/>
      <x:c r="AA12" s="16" t="str">
        <x:f>IF(A12="","",IF(AND(C12="研究",T12=1),D12,""))</x:f>
      </x:c>
    </x:row>
    <x:row r="13" ht="36" customHeight="1">
      <x:c r="A13" s="11"/>
      <x:c r="B13" s="11"/>
      <x:c r="C13" s="11"/>
      <x:c r="D13" s="11"/>
      <x:c r="E13" s="11"/>
      <x:c r="F13" s="11"/>
      <x:c r="G13" s="17"/>
      <x:c r="H13" s="11"/>
      <x:c r="I13" s="11"/>
      <x:c r="J13" s="11"/>
      <x:c r="K13" s="11"/>
      <x:c r="L13" s="11"/>
      <x:c r="M13" s="11"/>
      <x:c r="N13" s="11"/>
      <x:c r="O13" s="11"/>
      <x:c r="P13" s="11"/>
      <x:c r="Q13" s="16" t="str">
        <x:f>IF(A13="","",IF(C13="研究",1,0))</x:f>
      </x:c>
      <x:c r="R13" s="16" t="str">
        <x:f>IF(OR(A13="",C13&lt;&gt;"研究",D13="",J13&lt;&gt;"已判定"),"",IF(COUNTIFS($D$6:D13,D13,$C$6:C13,"研究",$J$6:J13,"已判定")=1,1,0))</x:f>
      </x:c>
      <x:c r="S13" s="16" t="str">
        <x:f>IF(OR(A13="",C13&lt;&gt;"研究",D13="",J13&lt;&gt;"已判定"),"",IF(COUNTIFS($D$6:D13,D13,$B$6:B13,B13,$C$6:C13,"研究",$J$6:J13,"已判定")=1,1,0))</x:f>
      </x:c>
      <x:c r="T13" s="16" t="str">
        <x:f>IF(A13="","",IF(AND(D13&lt;&gt;"",J13="已判定",K13="是",L13="是",COUNTIF('笔记筛选'!$A$6:$A$35,E13)=1,COUNTIF('批次记录'!$A$6:$A$17,B13)=1,COUNTIF('证据索引'!$A$6:$A$105,F13)=1),IF(AND(INDEX('笔记筛选'!$O$6:$O$35,MATCH(E13,'笔记筛选'!$A$6:$A$35,0))=1,INDEX('证据索引'!$H$6:$H$105,MATCH(F13,'证据索引'!$A$6:$A$105,0))="可定位",INDEX('证据索引'!$F$6:$F$105,MATCH(F13,'证据索引'!$A$6:$A$105,0))="是",INDEX('证据索引'!$B$6:$B$105,MATCH(F13,'证据索引'!$A$6:$A$105,0))=E13),1,0),0))</x:f>
      </x:c>
      <x:c r="U13" s="16" t="str">
        <x:f>IF(R13="","",IF(AND(R13=1,COUNTIF($AA$6:$AA$205,D13)&gt;0),1,0))</x:f>
      </x:c>
      <x:c r="V13" s="16" t="str">
        <x:f>IF(R13="","",IF(AND(R13=1,COUNTIFS('问题评论关联'!$C$6:$C$205,D13,'问题评论关联'!$G$6:$G$205,1)&gt;0),1,0))</x:f>
      </x:c>
      <x:c r="W13" s="16" t="str">
        <x:f>IF(S13="","",IF(AND(S13=1,COUNTIFS('问题评论关联'!$C$6:$C$205,D13,'问题评论关联'!$G$6:$G$205,1)&gt;0),1,0))</x:f>
      </x:c>
      <x:c r="X13" s="16" t="str">
        <x:f>IF(A13="","",IF(AND(C13="研究",OR(D13="",J13&lt;&gt;"已判定")),1,0))</x:f>
      </x:c>
      <x:c r="Y13" s="16" t="str">
        <x:f>IF(A13="","",IF(COUNTIF('批次记录'!$A$6:$A$17,B13)&lt;&gt;1,"批次缺失或重复",IF(COUNTIF('笔记筛选'!$A$6:$A$35,E13)&lt;&gt;1,"笔记缺失或重复",IF(AND(K13="是",COUNTIF('证据索引'!$A$6:$A$105,F13)&lt;&gt;1),"证据缺失或重复",""))))</x:f>
      </x:c>
      <x:c r="Z13"/>
      <x:c r="AA13" s="16" t="str">
        <x:f>IF(A13="","",IF(AND(C13="研究",T13=1),D13,""))</x:f>
      </x:c>
    </x:row>
    <x:row r="14" ht="36" customHeight="1">
      <x:c r="A14" s="11"/>
      <x:c r="B14" s="11"/>
      <x:c r="C14" s="11"/>
      <x:c r="D14" s="11"/>
      <x:c r="E14" s="11"/>
      <x:c r="F14" s="11"/>
      <x:c r="G14" s="17"/>
      <x:c r="H14" s="11"/>
      <x:c r="I14" s="11"/>
      <x:c r="J14" s="11"/>
      <x:c r="K14" s="11"/>
      <x:c r="L14" s="11"/>
      <x:c r="M14" s="11"/>
      <x:c r="N14" s="11"/>
      <x:c r="O14" s="11"/>
      <x:c r="P14" s="11"/>
      <x:c r="Q14" s="16" t="str">
        <x:f>IF(A14="","",IF(C14="研究",1,0))</x:f>
      </x:c>
      <x:c r="R14" s="16" t="str">
        <x:f>IF(OR(A14="",C14&lt;&gt;"研究",D14="",J14&lt;&gt;"已判定"),"",IF(COUNTIFS($D$6:D14,D14,$C$6:C14,"研究",$J$6:J14,"已判定")=1,1,0))</x:f>
      </x:c>
      <x:c r="S14" s="16" t="str">
        <x:f>IF(OR(A14="",C14&lt;&gt;"研究",D14="",J14&lt;&gt;"已判定"),"",IF(COUNTIFS($D$6:D14,D14,$B$6:B14,B14,$C$6:C14,"研究",$J$6:J14,"已判定")=1,1,0))</x:f>
      </x:c>
      <x:c r="T14" s="16" t="str">
        <x:f>IF(A14="","",IF(AND(D14&lt;&gt;"",J14="已判定",K14="是",L14="是",COUNTIF('笔记筛选'!$A$6:$A$35,E14)=1,COUNTIF('批次记录'!$A$6:$A$17,B14)=1,COUNTIF('证据索引'!$A$6:$A$105,F14)=1),IF(AND(INDEX('笔记筛选'!$O$6:$O$35,MATCH(E14,'笔记筛选'!$A$6:$A$35,0))=1,INDEX('证据索引'!$H$6:$H$105,MATCH(F14,'证据索引'!$A$6:$A$105,0))="可定位",INDEX('证据索引'!$F$6:$F$105,MATCH(F14,'证据索引'!$A$6:$A$105,0))="是",INDEX('证据索引'!$B$6:$B$105,MATCH(F14,'证据索引'!$A$6:$A$105,0))=E14),1,0),0))</x:f>
      </x:c>
      <x:c r="U14" s="16" t="str">
        <x:f>IF(R14="","",IF(AND(R14=1,COUNTIF($AA$6:$AA$205,D14)&gt;0),1,0))</x:f>
      </x:c>
      <x:c r="V14" s="16" t="str">
        <x:f>IF(R14="","",IF(AND(R14=1,COUNTIFS('问题评论关联'!$C$6:$C$205,D14,'问题评论关联'!$G$6:$G$205,1)&gt;0),1,0))</x:f>
      </x:c>
      <x:c r="W14" s="16" t="str">
        <x:f>IF(S14="","",IF(AND(S14=1,COUNTIFS('问题评论关联'!$C$6:$C$205,D14,'问题评论关联'!$G$6:$G$205,1)&gt;0),1,0))</x:f>
      </x:c>
      <x:c r="X14" s="16" t="str">
        <x:f>IF(A14="","",IF(AND(C14="研究",OR(D14="",J14&lt;&gt;"已判定")),1,0))</x:f>
      </x:c>
      <x:c r="Y14" s="16" t="str">
        <x:f>IF(A14="","",IF(COUNTIF('批次记录'!$A$6:$A$17,B14)&lt;&gt;1,"批次缺失或重复",IF(COUNTIF('笔记筛选'!$A$6:$A$35,E14)&lt;&gt;1,"笔记缺失或重复",IF(AND(K14="是",COUNTIF('证据索引'!$A$6:$A$105,F14)&lt;&gt;1),"证据缺失或重复",""))))</x:f>
      </x:c>
      <x:c r="Z14"/>
      <x:c r="AA14" s="16" t="str">
        <x:f>IF(A14="","",IF(AND(C14="研究",T14=1),D14,""))</x:f>
      </x:c>
    </x:row>
    <x:row r="15" ht="36" customHeight="1">
      <x:c r="A15" s="11"/>
      <x:c r="B15" s="11"/>
      <x:c r="C15" s="11"/>
      <x:c r="D15" s="11"/>
      <x:c r="E15" s="11"/>
      <x:c r="F15" s="11"/>
      <x:c r="G15" s="17"/>
      <x:c r="H15" s="11"/>
      <x:c r="I15" s="11"/>
      <x:c r="J15" s="11"/>
      <x:c r="K15" s="11"/>
      <x:c r="L15" s="11"/>
      <x:c r="M15" s="11"/>
      <x:c r="N15" s="11"/>
      <x:c r="O15" s="11"/>
      <x:c r="P15" s="11"/>
      <x:c r="Q15" s="16" t="str">
        <x:f>IF(A15="","",IF(C15="研究",1,0))</x:f>
      </x:c>
      <x:c r="R15" s="16" t="str">
        <x:f>IF(OR(A15="",C15&lt;&gt;"研究",D15="",J15&lt;&gt;"已判定"),"",IF(COUNTIFS($D$6:D15,D15,$C$6:C15,"研究",$J$6:J15,"已判定")=1,1,0))</x:f>
      </x:c>
      <x:c r="S15" s="16" t="str">
        <x:f>IF(OR(A15="",C15&lt;&gt;"研究",D15="",J15&lt;&gt;"已判定"),"",IF(COUNTIFS($D$6:D15,D15,$B$6:B15,B15,$C$6:C15,"研究",$J$6:J15,"已判定")=1,1,0))</x:f>
      </x:c>
      <x:c r="T15" s="16" t="str">
        <x:f>IF(A15="","",IF(AND(D15&lt;&gt;"",J15="已判定",K15="是",L15="是",COUNTIF('笔记筛选'!$A$6:$A$35,E15)=1,COUNTIF('批次记录'!$A$6:$A$17,B15)=1,COUNTIF('证据索引'!$A$6:$A$105,F15)=1),IF(AND(INDEX('笔记筛选'!$O$6:$O$35,MATCH(E15,'笔记筛选'!$A$6:$A$35,0))=1,INDEX('证据索引'!$H$6:$H$105,MATCH(F15,'证据索引'!$A$6:$A$105,0))="可定位",INDEX('证据索引'!$F$6:$F$105,MATCH(F15,'证据索引'!$A$6:$A$105,0))="是",INDEX('证据索引'!$B$6:$B$105,MATCH(F15,'证据索引'!$A$6:$A$105,0))=E15),1,0),0))</x:f>
      </x:c>
      <x:c r="U15" s="16" t="str">
        <x:f>IF(R15="","",IF(AND(R15=1,COUNTIF($AA$6:$AA$205,D15)&gt;0),1,0))</x:f>
      </x:c>
      <x:c r="V15" s="16" t="str">
        <x:f>IF(R15="","",IF(AND(R15=1,COUNTIFS('问题评论关联'!$C$6:$C$205,D15,'问题评论关联'!$G$6:$G$205,1)&gt;0),1,0))</x:f>
      </x:c>
      <x:c r="W15" s="16" t="str">
        <x:f>IF(S15="","",IF(AND(S15=1,COUNTIFS('问题评论关联'!$C$6:$C$205,D15,'问题评论关联'!$G$6:$G$205,1)&gt;0),1,0))</x:f>
      </x:c>
      <x:c r="X15" s="16" t="str">
        <x:f>IF(A15="","",IF(AND(C15="研究",OR(D15="",J15&lt;&gt;"已判定")),1,0))</x:f>
      </x:c>
      <x:c r="Y15" s="16" t="str">
        <x:f>IF(A15="","",IF(COUNTIF('批次记录'!$A$6:$A$17,B15)&lt;&gt;1,"批次缺失或重复",IF(COUNTIF('笔记筛选'!$A$6:$A$35,E15)&lt;&gt;1,"笔记缺失或重复",IF(AND(K15="是",COUNTIF('证据索引'!$A$6:$A$105,F15)&lt;&gt;1),"证据缺失或重复",""))))</x:f>
      </x:c>
      <x:c r="Z15"/>
      <x:c r="AA15" s="16" t="str">
        <x:f>IF(A15="","",IF(AND(C15="研究",T15=1),D15,""))</x:f>
      </x:c>
    </x:row>
    <x:row r="16" ht="36" customHeight="1">
      <x:c r="A16" s="11"/>
      <x:c r="B16" s="11"/>
      <x:c r="C16" s="11"/>
      <x:c r="D16" s="11"/>
      <x:c r="E16" s="11"/>
      <x:c r="F16" s="11"/>
      <x:c r="G16" s="17"/>
      <x:c r="H16" s="11"/>
      <x:c r="I16" s="11"/>
      <x:c r="J16" s="11"/>
      <x:c r="K16" s="11"/>
      <x:c r="L16" s="11"/>
      <x:c r="M16" s="11"/>
      <x:c r="N16" s="11"/>
      <x:c r="O16" s="11"/>
      <x:c r="P16" s="11"/>
      <x:c r="Q16" s="16" t="str">
        <x:f>IF(A16="","",IF(C16="研究",1,0))</x:f>
      </x:c>
      <x:c r="R16" s="16" t="str">
        <x:f>IF(OR(A16="",C16&lt;&gt;"研究",D16="",J16&lt;&gt;"已判定"),"",IF(COUNTIFS($D$6:D16,D16,$C$6:C16,"研究",$J$6:J16,"已判定")=1,1,0))</x:f>
      </x:c>
      <x:c r="S16" s="16" t="str">
        <x:f>IF(OR(A16="",C16&lt;&gt;"研究",D16="",J16&lt;&gt;"已判定"),"",IF(COUNTIFS($D$6:D16,D16,$B$6:B16,B16,$C$6:C16,"研究",$J$6:J16,"已判定")=1,1,0))</x:f>
      </x:c>
      <x:c r="T16" s="16" t="str">
        <x:f>IF(A16="","",IF(AND(D16&lt;&gt;"",J16="已判定",K16="是",L16="是",COUNTIF('笔记筛选'!$A$6:$A$35,E16)=1,COUNTIF('批次记录'!$A$6:$A$17,B16)=1,COUNTIF('证据索引'!$A$6:$A$105,F16)=1),IF(AND(INDEX('笔记筛选'!$O$6:$O$35,MATCH(E16,'笔记筛选'!$A$6:$A$35,0))=1,INDEX('证据索引'!$H$6:$H$105,MATCH(F16,'证据索引'!$A$6:$A$105,0))="可定位",INDEX('证据索引'!$F$6:$F$105,MATCH(F16,'证据索引'!$A$6:$A$105,0))="是",INDEX('证据索引'!$B$6:$B$105,MATCH(F16,'证据索引'!$A$6:$A$105,0))=E16),1,0),0))</x:f>
      </x:c>
      <x:c r="U16" s="16" t="str">
        <x:f>IF(R16="","",IF(AND(R16=1,COUNTIF($AA$6:$AA$205,D16)&gt;0),1,0))</x:f>
      </x:c>
      <x:c r="V16" s="16" t="str">
        <x:f>IF(R16="","",IF(AND(R16=1,COUNTIFS('问题评论关联'!$C$6:$C$205,D16,'问题评论关联'!$G$6:$G$205,1)&gt;0),1,0))</x:f>
      </x:c>
      <x:c r="W16" s="16" t="str">
        <x:f>IF(S16="","",IF(AND(S16=1,COUNTIFS('问题评论关联'!$C$6:$C$205,D16,'问题评论关联'!$G$6:$G$205,1)&gt;0),1,0))</x:f>
      </x:c>
      <x:c r="X16" s="16" t="str">
        <x:f>IF(A16="","",IF(AND(C16="研究",OR(D16="",J16&lt;&gt;"已判定")),1,0))</x:f>
      </x:c>
      <x:c r="Y16" s="16" t="str">
        <x:f>IF(A16="","",IF(COUNTIF('批次记录'!$A$6:$A$17,B16)&lt;&gt;1,"批次缺失或重复",IF(COUNTIF('笔记筛选'!$A$6:$A$35,E16)&lt;&gt;1,"笔记缺失或重复",IF(AND(K16="是",COUNTIF('证据索引'!$A$6:$A$105,F16)&lt;&gt;1),"证据缺失或重复",""))))</x:f>
      </x:c>
      <x:c r="Z16"/>
      <x:c r="AA16" s="16" t="str">
        <x:f>IF(A16="","",IF(AND(C16="研究",T16=1),D16,""))</x:f>
      </x:c>
    </x:row>
    <x:row r="17" ht="36" customHeight="1">
      <x:c r="A17" s="11"/>
      <x:c r="B17" s="11"/>
      <x:c r="C17" s="11"/>
      <x:c r="D17" s="11"/>
      <x:c r="E17" s="11"/>
      <x:c r="F17" s="11"/>
      <x:c r="G17" s="17"/>
      <x:c r="H17" s="11"/>
      <x:c r="I17" s="11"/>
      <x:c r="J17" s="11"/>
      <x:c r="K17" s="11"/>
      <x:c r="L17" s="11"/>
      <x:c r="M17" s="11"/>
      <x:c r="N17" s="11"/>
      <x:c r="O17" s="11"/>
      <x:c r="P17" s="11"/>
      <x:c r="Q17" s="16" t="str">
        <x:f>IF(A17="","",IF(C17="研究",1,0))</x:f>
      </x:c>
      <x:c r="R17" s="16" t="str">
        <x:f>IF(OR(A17="",C17&lt;&gt;"研究",D17="",J17&lt;&gt;"已判定"),"",IF(COUNTIFS($D$6:D17,D17,$C$6:C17,"研究",$J$6:J17,"已判定")=1,1,0))</x:f>
      </x:c>
      <x:c r="S17" s="16" t="str">
        <x:f>IF(OR(A17="",C17&lt;&gt;"研究",D17="",J17&lt;&gt;"已判定"),"",IF(COUNTIFS($D$6:D17,D17,$B$6:B17,B17,$C$6:C17,"研究",$J$6:J17,"已判定")=1,1,0))</x:f>
      </x:c>
      <x:c r="T17" s="16" t="str">
        <x:f>IF(A17="","",IF(AND(D17&lt;&gt;"",J17="已判定",K17="是",L17="是",COUNTIF('笔记筛选'!$A$6:$A$35,E17)=1,COUNTIF('批次记录'!$A$6:$A$17,B17)=1,COUNTIF('证据索引'!$A$6:$A$105,F17)=1),IF(AND(INDEX('笔记筛选'!$O$6:$O$35,MATCH(E17,'笔记筛选'!$A$6:$A$35,0))=1,INDEX('证据索引'!$H$6:$H$105,MATCH(F17,'证据索引'!$A$6:$A$105,0))="可定位",INDEX('证据索引'!$F$6:$F$105,MATCH(F17,'证据索引'!$A$6:$A$105,0))="是",INDEX('证据索引'!$B$6:$B$105,MATCH(F17,'证据索引'!$A$6:$A$105,0))=E17),1,0),0))</x:f>
      </x:c>
      <x:c r="U17" s="16" t="str">
        <x:f>IF(R17="","",IF(AND(R17=1,COUNTIF($AA$6:$AA$205,D17)&gt;0),1,0))</x:f>
      </x:c>
      <x:c r="V17" s="16" t="str">
        <x:f>IF(R17="","",IF(AND(R17=1,COUNTIFS('问题评论关联'!$C$6:$C$205,D17,'问题评论关联'!$G$6:$G$205,1)&gt;0),1,0))</x:f>
      </x:c>
      <x:c r="W17" s="16" t="str">
        <x:f>IF(S17="","",IF(AND(S17=1,COUNTIFS('问题评论关联'!$C$6:$C$205,D17,'问题评论关联'!$G$6:$G$205,1)&gt;0),1,0))</x:f>
      </x:c>
      <x:c r="X17" s="16" t="str">
        <x:f>IF(A17="","",IF(AND(C17="研究",OR(D17="",J17&lt;&gt;"已判定")),1,0))</x:f>
      </x:c>
      <x:c r="Y17" s="16" t="str">
        <x:f>IF(A17="","",IF(COUNTIF('批次记录'!$A$6:$A$17,B17)&lt;&gt;1,"批次缺失或重复",IF(COUNTIF('笔记筛选'!$A$6:$A$35,E17)&lt;&gt;1,"笔记缺失或重复",IF(AND(K17="是",COUNTIF('证据索引'!$A$6:$A$105,F17)&lt;&gt;1),"证据缺失或重复",""))))</x:f>
      </x:c>
      <x:c r="Z17"/>
      <x:c r="AA17" s="16" t="str">
        <x:f>IF(A17="","",IF(AND(C17="研究",T17=1),D17,""))</x:f>
      </x:c>
    </x:row>
    <x:row r="18" ht="36" customHeight="1">
      <x:c r="A18" s="11"/>
      <x:c r="B18" s="11"/>
      <x:c r="C18" s="11"/>
      <x:c r="D18" s="11"/>
      <x:c r="E18" s="11"/>
      <x:c r="F18" s="11"/>
      <x:c r="G18" s="17"/>
      <x:c r="H18" s="11"/>
      <x:c r="I18" s="11"/>
      <x:c r="J18" s="11"/>
      <x:c r="K18" s="11"/>
      <x:c r="L18" s="11"/>
      <x:c r="M18" s="11"/>
      <x:c r="N18" s="11"/>
      <x:c r="O18" s="11"/>
      <x:c r="P18" s="11"/>
      <x:c r="Q18" s="16" t="str">
        <x:f>IF(A18="","",IF(C18="研究",1,0))</x:f>
      </x:c>
      <x:c r="R18" s="16" t="str">
        <x:f>IF(OR(A18="",C18&lt;&gt;"研究",D18="",J18&lt;&gt;"已判定"),"",IF(COUNTIFS($D$6:D18,D18,$C$6:C18,"研究",$J$6:J18,"已判定")=1,1,0))</x:f>
      </x:c>
      <x:c r="S18" s="16" t="str">
        <x:f>IF(OR(A18="",C18&lt;&gt;"研究",D18="",J18&lt;&gt;"已判定"),"",IF(COUNTIFS($D$6:D18,D18,$B$6:B18,B18,$C$6:C18,"研究",$J$6:J18,"已判定")=1,1,0))</x:f>
      </x:c>
      <x:c r="T18" s="16" t="str">
        <x:f>IF(A18="","",IF(AND(D18&lt;&gt;"",J18="已判定",K18="是",L18="是",COUNTIF('笔记筛选'!$A$6:$A$35,E18)=1,COUNTIF('批次记录'!$A$6:$A$17,B18)=1,COUNTIF('证据索引'!$A$6:$A$105,F18)=1),IF(AND(INDEX('笔记筛选'!$O$6:$O$35,MATCH(E18,'笔记筛选'!$A$6:$A$35,0))=1,INDEX('证据索引'!$H$6:$H$105,MATCH(F18,'证据索引'!$A$6:$A$105,0))="可定位",INDEX('证据索引'!$F$6:$F$105,MATCH(F18,'证据索引'!$A$6:$A$105,0))="是",INDEX('证据索引'!$B$6:$B$105,MATCH(F18,'证据索引'!$A$6:$A$105,0))=E18),1,0),0))</x:f>
      </x:c>
      <x:c r="U18" s="16" t="str">
        <x:f>IF(R18="","",IF(AND(R18=1,COUNTIF($AA$6:$AA$205,D18)&gt;0),1,0))</x:f>
      </x:c>
      <x:c r="V18" s="16" t="str">
        <x:f>IF(R18="","",IF(AND(R18=1,COUNTIFS('问题评论关联'!$C$6:$C$205,D18,'问题评论关联'!$G$6:$G$205,1)&gt;0),1,0))</x:f>
      </x:c>
      <x:c r="W18" s="16" t="str">
        <x:f>IF(S18="","",IF(AND(S18=1,COUNTIFS('问题评论关联'!$C$6:$C$205,D18,'问题评论关联'!$G$6:$G$205,1)&gt;0),1,0))</x:f>
      </x:c>
      <x:c r="X18" s="16" t="str">
        <x:f>IF(A18="","",IF(AND(C18="研究",OR(D18="",J18&lt;&gt;"已判定")),1,0))</x:f>
      </x:c>
      <x:c r="Y18" s="16" t="str">
        <x:f>IF(A18="","",IF(COUNTIF('批次记录'!$A$6:$A$17,B18)&lt;&gt;1,"批次缺失或重复",IF(COUNTIF('笔记筛选'!$A$6:$A$35,E18)&lt;&gt;1,"笔记缺失或重复",IF(AND(K18="是",COUNTIF('证据索引'!$A$6:$A$105,F18)&lt;&gt;1),"证据缺失或重复",""))))</x:f>
      </x:c>
      <x:c r="Z18"/>
      <x:c r="AA18" s="16" t="str">
        <x:f>IF(A18="","",IF(AND(C18="研究",T18=1),D18,""))</x:f>
      </x:c>
    </x:row>
    <x:row r="19" ht="36" customHeight="1">
      <x:c r="A19" s="11"/>
      <x:c r="B19" s="11"/>
      <x:c r="C19" s="11"/>
      <x:c r="D19" s="11"/>
      <x:c r="E19" s="11"/>
      <x:c r="F19" s="11"/>
      <x:c r="G19" s="17"/>
      <x:c r="H19" s="11"/>
      <x:c r="I19" s="11"/>
      <x:c r="J19" s="11"/>
      <x:c r="K19" s="11"/>
      <x:c r="L19" s="11"/>
      <x:c r="M19" s="11"/>
      <x:c r="N19" s="11"/>
      <x:c r="O19" s="11"/>
      <x:c r="P19" s="11"/>
      <x:c r="Q19" s="16" t="str">
        <x:f>IF(A19="","",IF(C19="研究",1,0))</x:f>
      </x:c>
      <x:c r="R19" s="16" t="str">
        <x:f>IF(OR(A19="",C19&lt;&gt;"研究",D19="",J19&lt;&gt;"已判定"),"",IF(COUNTIFS($D$6:D19,D19,$C$6:C19,"研究",$J$6:J19,"已判定")=1,1,0))</x:f>
      </x:c>
      <x:c r="S19" s="16" t="str">
        <x:f>IF(OR(A19="",C19&lt;&gt;"研究",D19="",J19&lt;&gt;"已判定"),"",IF(COUNTIFS($D$6:D19,D19,$B$6:B19,B19,$C$6:C19,"研究",$J$6:J19,"已判定")=1,1,0))</x:f>
      </x:c>
      <x:c r="T19" s="16" t="str">
        <x:f>IF(A19="","",IF(AND(D19&lt;&gt;"",J19="已判定",K19="是",L19="是",COUNTIF('笔记筛选'!$A$6:$A$35,E19)=1,COUNTIF('批次记录'!$A$6:$A$17,B19)=1,COUNTIF('证据索引'!$A$6:$A$105,F19)=1),IF(AND(INDEX('笔记筛选'!$O$6:$O$35,MATCH(E19,'笔记筛选'!$A$6:$A$35,0))=1,INDEX('证据索引'!$H$6:$H$105,MATCH(F19,'证据索引'!$A$6:$A$105,0))="可定位",INDEX('证据索引'!$F$6:$F$105,MATCH(F19,'证据索引'!$A$6:$A$105,0))="是",INDEX('证据索引'!$B$6:$B$105,MATCH(F19,'证据索引'!$A$6:$A$105,0))=E19),1,0),0))</x:f>
      </x:c>
      <x:c r="U19" s="16" t="str">
        <x:f>IF(R19="","",IF(AND(R19=1,COUNTIF($AA$6:$AA$205,D19)&gt;0),1,0))</x:f>
      </x:c>
      <x:c r="V19" s="16" t="str">
        <x:f>IF(R19="","",IF(AND(R19=1,COUNTIFS('问题评论关联'!$C$6:$C$205,D19,'问题评论关联'!$G$6:$G$205,1)&gt;0),1,0))</x:f>
      </x:c>
      <x:c r="W19" s="16" t="str">
        <x:f>IF(S19="","",IF(AND(S19=1,COUNTIFS('问题评论关联'!$C$6:$C$205,D19,'问题评论关联'!$G$6:$G$205,1)&gt;0),1,0))</x:f>
      </x:c>
      <x:c r="X19" s="16" t="str">
        <x:f>IF(A19="","",IF(AND(C19="研究",OR(D19="",J19&lt;&gt;"已判定")),1,0))</x:f>
      </x:c>
      <x:c r="Y19" s="16" t="str">
        <x:f>IF(A19="","",IF(COUNTIF('批次记录'!$A$6:$A$17,B19)&lt;&gt;1,"批次缺失或重复",IF(COUNTIF('笔记筛选'!$A$6:$A$35,E19)&lt;&gt;1,"笔记缺失或重复",IF(AND(K19="是",COUNTIF('证据索引'!$A$6:$A$105,F19)&lt;&gt;1),"证据缺失或重复",""))))</x:f>
      </x:c>
      <x:c r="Z19"/>
      <x:c r="AA19" s="16" t="str">
        <x:f>IF(A19="","",IF(AND(C19="研究",T19=1),D19,""))</x:f>
      </x:c>
    </x:row>
    <x:row r="20" ht="36" customHeight="1">
      <x:c r="A20" s="11"/>
      <x:c r="B20" s="11"/>
      <x:c r="C20" s="11"/>
      <x:c r="D20" s="11"/>
      <x:c r="E20" s="11"/>
      <x:c r="F20" s="11"/>
      <x:c r="G20" s="17"/>
      <x:c r="H20" s="11"/>
      <x:c r="I20" s="11"/>
      <x:c r="J20" s="11"/>
      <x:c r="K20" s="11"/>
      <x:c r="L20" s="11"/>
      <x:c r="M20" s="11"/>
      <x:c r="N20" s="11"/>
      <x:c r="O20" s="11"/>
      <x:c r="P20" s="11"/>
      <x:c r="Q20" s="16" t="str">
        <x:f>IF(A20="","",IF(C20="研究",1,0))</x:f>
      </x:c>
      <x:c r="R20" s="16" t="str">
        <x:f>IF(OR(A20="",C20&lt;&gt;"研究",D20="",J20&lt;&gt;"已判定"),"",IF(COUNTIFS($D$6:D20,D20,$C$6:C20,"研究",$J$6:J20,"已判定")=1,1,0))</x:f>
      </x:c>
      <x:c r="S20" s="16" t="str">
        <x:f>IF(OR(A20="",C20&lt;&gt;"研究",D20="",J20&lt;&gt;"已判定"),"",IF(COUNTIFS($D$6:D20,D20,$B$6:B20,B20,$C$6:C20,"研究",$J$6:J20,"已判定")=1,1,0))</x:f>
      </x:c>
      <x:c r="T20" s="16" t="str">
        <x:f>IF(A20="","",IF(AND(D20&lt;&gt;"",J20="已判定",K20="是",L20="是",COUNTIF('笔记筛选'!$A$6:$A$35,E20)=1,COUNTIF('批次记录'!$A$6:$A$17,B20)=1,COUNTIF('证据索引'!$A$6:$A$105,F20)=1),IF(AND(INDEX('笔记筛选'!$O$6:$O$35,MATCH(E20,'笔记筛选'!$A$6:$A$35,0))=1,INDEX('证据索引'!$H$6:$H$105,MATCH(F20,'证据索引'!$A$6:$A$105,0))="可定位",INDEX('证据索引'!$F$6:$F$105,MATCH(F20,'证据索引'!$A$6:$A$105,0))="是",INDEX('证据索引'!$B$6:$B$105,MATCH(F20,'证据索引'!$A$6:$A$105,0))=E20),1,0),0))</x:f>
      </x:c>
      <x:c r="U20" s="16" t="str">
        <x:f>IF(R20="","",IF(AND(R20=1,COUNTIF($AA$6:$AA$205,D20)&gt;0),1,0))</x:f>
      </x:c>
      <x:c r="V20" s="16" t="str">
        <x:f>IF(R20="","",IF(AND(R20=1,COUNTIFS('问题评论关联'!$C$6:$C$205,D20,'问题评论关联'!$G$6:$G$205,1)&gt;0),1,0))</x:f>
      </x:c>
      <x:c r="W20" s="16" t="str">
        <x:f>IF(S20="","",IF(AND(S20=1,COUNTIFS('问题评论关联'!$C$6:$C$205,D20,'问题评论关联'!$G$6:$G$205,1)&gt;0),1,0))</x:f>
      </x:c>
      <x:c r="X20" s="16" t="str">
        <x:f>IF(A20="","",IF(AND(C20="研究",OR(D20="",J20&lt;&gt;"已判定")),1,0))</x:f>
      </x:c>
      <x:c r="Y20" s="16" t="str">
        <x:f>IF(A20="","",IF(COUNTIF('批次记录'!$A$6:$A$17,B20)&lt;&gt;1,"批次缺失或重复",IF(COUNTIF('笔记筛选'!$A$6:$A$35,E20)&lt;&gt;1,"笔记缺失或重复",IF(AND(K20="是",COUNTIF('证据索引'!$A$6:$A$105,F20)&lt;&gt;1),"证据缺失或重复",""))))</x:f>
      </x:c>
      <x:c r="Z20"/>
      <x:c r="AA20" s="16" t="str">
        <x:f>IF(A20="","",IF(AND(C20="研究",T20=1),D20,""))</x:f>
      </x:c>
    </x:row>
    <x:row r="21" ht="36" customHeight="1">
      <x:c r="A21" s="11"/>
      <x:c r="B21" s="11"/>
      <x:c r="C21" s="11"/>
      <x:c r="D21" s="11"/>
      <x:c r="E21" s="11"/>
      <x:c r="F21" s="11"/>
      <x:c r="G21" s="17"/>
      <x:c r="H21" s="11"/>
      <x:c r="I21" s="11"/>
      <x:c r="J21" s="11"/>
      <x:c r="K21" s="11"/>
      <x:c r="L21" s="11"/>
      <x:c r="M21" s="11"/>
      <x:c r="N21" s="11"/>
      <x:c r="O21" s="11"/>
      <x:c r="P21" s="11"/>
      <x:c r="Q21" s="16" t="str">
        <x:f>IF(A21="","",IF(C21="研究",1,0))</x:f>
      </x:c>
      <x:c r="R21" s="16" t="str">
        <x:f>IF(OR(A21="",C21&lt;&gt;"研究",D21="",J21&lt;&gt;"已判定"),"",IF(COUNTIFS($D$6:D21,D21,$C$6:C21,"研究",$J$6:J21,"已判定")=1,1,0))</x:f>
      </x:c>
      <x:c r="S21" s="16" t="str">
        <x:f>IF(OR(A21="",C21&lt;&gt;"研究",D21="",J21&lt;&gt;"已判定"),"",IF(COUNTIFS($D$6:D21,D21,$B$6:B21,B21,$C$6:C21,"研究",$J$6:J21,"已判定")=1,1,0))</x:f>
      </x:c>
      <x:c r="T21" s="16" t="str">
        <x:f>IF(A21="","",IF(AND(D21&lt;&gt;"",J21="已判定",K21="是",L21="是",COUNTIF('笔记筛选'!$A$6:$A$35,E21)=1,COUNTIF('批次记录'!$A$6:$A$17,B21)=1,COUNTIF('证据索引'!$A$6:$A$105,F21)=1),IF(AND(INDEX('笔记筛选'!$O$6:$O$35,MATCH(E21,'笔记筛选'!$A$6:$A$35,0))=1,INDEX('证据索引'!$H$6:$H$105,MATCH(F21,'证据索引'!$A$6:$A$105,0))="可定位",INDEX('证据索引'!$F$6:$F$105,MATCH(F21,'证据索引'!$A$6:$A$105,0))="是",INDEX('证据索引'!$B$6:$B$105,MATCH(F21,'证据索引'!$A$6:$A$105,0))=E21),1,0),0))</x:f>
      </x:c>
      <x:c r="U21" s="16" t="str">
        <x:f>IF(R21="","",IF(AND(R21=1,COUNTIF($AA$6:$AA$205,D21)&gt;0),1,0))</x:f>
      </x:c>
      <x:c r="V21" s="16" t="str">
        <x:f>IF(R21="","",IF(AND(R21=1,COUNTIFS('问题评论关联'!$C$6:$C$205,D21,'问题评论关联'!$G$6:$G$205,1)&gt;0),1,0))</x:f>
      </x:c>
      <x:c r="W21" s="16" t="str">
        <x:f>IF(S21="","",IF(AND(S21=1,COUNTIFS('问题评论关联'!$C$6:$C$205,D21,'问题评论关联'!$G$6:$G$205,1)&gt;0),1,0))</x:f>
      </x:c>
      <x:c r="X21" s="16" t="str">
        <x:f>IF(A21="","",IF(AND(C21="研究",OR(D21="",J21&lt;&gt;"已判定")),1,0))</x:f>
      </x:c>
      <x:c r="Y21" s="16" t="str">
        <x:f>IF(A21="","",IF(COUNTIF('批次记录'!$A$6:$A$17,B21)&lt;&gt;1,"批次缺失或重复",IF(COUNTIF('笔记筛选'!$A$6:$A$35,E21)&lt;&gt;1,"笔记缺失或重复",IF(AND(K21="是",COUNTIF('证据索引'!$A$6:$A$105,F21)&lt;&gt;1),"证据缺失或重复",""))))</x:f>
      </x:c>
      <x:c r="Z21"/>
      <x:c r="AA21" s="16" t="str">
        <x:f>IF(A21="","",IF(AND(C21="研究",T21=1),D21,""))</x:f>
      </x:c>
    </x:row>
    <x:row r="22" ht="36" customHeight="1">
      <x:c r="A22" s="11"/>
      <x:c r="B22" s="11"/>
      <x:c r="C22" s="11"/>
      <x:c r="D22" s="11"/>
      <x:c r="E22" s="11"/>
      <x:c r="F22" s="11"/>
      <x:c r="G22" s="17"/>
      <x:c r="H22" s="11"/>
      <x:c r="I22" s="11"/>
      <x:c r="J22" s="11"/>
      <x:c r="K22" s="11"/>
      <x:c r="L22" s="11"/>
      <x:c r="M22" s="11"/>
      <x:c r="N22" s="11"/>
      <x:c r="O22" s="11"/>
      <x:c r="P22" s="11"/>
      <x:c r="Q22" s="16" t="str">
        <x:f>IF(A22="","",IF(C22="研究",1,0))</x:f>
      </x:c>
      <x:c r="R22" s="16" t="str">
        <x:f>IF(OR(A22="",C22&lt;&gt;"研究",D22="",J22&lt;&gt;"已判定"),"",IF(COUNTIFS($D$6:D22,D22,$C$6:C22,"研究",$J$6:J22,"已判定")=1,1,0))</x:f>
      </x:c>
      <x:c r="S22" s="16" t="str">
        <x:f>IF(OR(A22="",C22&lt;&gt;"研究",D22="",J22&lt;&gt;"已判定"),"",IF(COUNTIFS($D$6:D22,D22,$B$6:B22,B22,$C$6:C22,"研究",$J$6:J22,"已判定")=1,1,0))</x:f>
      </x:c>
      <x:c r="T22" s="16" t="str">
        <x:f>IF(A22="","",IF(AND(D22&lt;&gt;"",J22="已判定",K22="是",L22="是",COUNTIF('笔记筛选'!$A$6:$A$35,E22)=1,COUNTIF('批次记录'!$A$6:$A$17,B22)=1,COUNTIF('证据索引'!$A$6:$A$105,F22)=1),IF(AND(INDEX('笔记筛选'!$O$6:$O$35,MATCH(E22,'笔记筛选'!$A$6:$A$35,0))=1,INDEX('证据索引'!$H$6:$H$105,MATCH(F22,'证据索引'!$A$6:$A$105,0))="可定位",INDEX('证据索引'!$F$6:$F$105,MATCH(F22,'证据索引'!$A$6:$A$105,0))="是",INDEX('证据索引'!$B$6:$B$105,MATCH(F22,'证据索引'!$A$6:$A$105,0))=E22),1,0),0))</x:f>
      </x:c>
      <x:c r="U22" s="16" t="str">
        <x:f>IF(R22="","",IF(AND(R22=1,COUNTIF($AA$6:$AA$205,D22)&gt;0),1,0))</x:f>
      </x:c>
      <x:c r="V22" s="16" t="str">
        <x:f>IF(R22="","",IF(AND(R22=1,COUNTIFS('问题评论关联'!$C$6:$C$205,D22,'问题评论关联'!$G$6:$G$205,1)&gt;0),1,0))</x:f>
      </x:c>
      <x:c r="W22" s="16" t="str">
        <x:f>IF(S22="","",IF(AND(S22=1,COUNTIFS('问题评论关联'!$C$6:$C$205,D22,'问题评论关联'!$G$6:$G$205,1)&gt;0),1,0))</x:f>
      </x:c>
      <x:c r="X22" s="16" t="str">
        <x:f>IF(A22="","",IF(AND(C22="研究",OR(D22="",J22&lt;&gt;"已判定")),1,0))</x:f>
      </x:c>
      <x:c r="Y22" s="16" t="str">
        <x:f>IF(A22="","",IF(COUNTIF('批次记录'!$A$6:$A$17,B22)&lt;&gt;1,"批次缺失或重复",IF(COUNTIF('笔记筛选'!$A$6:$A$35,E22)&lt;&gt;1,"笔记缺失或重复",IF(AND(K22="是",COUNTIF('证据索引'!$A$6:$A$105,F22)&lt;&gt;1),"证据缺失或重复",""))))</x:f>
      </x:c>
      <x:c r="Z22"/>
      <x:c r="AA22" s="16" t="str">
        <x:f>IF(A22="","",IF(AND(C22="研究",T22=1),D22,""))</x:f>
      </x:c>
    </x:row>
    <x:row r="23" ht="36" customHeight="1">
      <x:c r="A23" s="11"/>
      <x:c r="B23" s="11"/>
      <x:c r="C23" s="11"/>
      <x:c r="D23" s="11"/>
      <x:c r="E23" s="11"/>
      <x:c r="F23" s="11"/>
      <x:c r="G23" s="17"/>
      <x:c r="H23" s="11"/>
      <x:c r="I23" s="11"/>
      <x:c r="J23" s="11"/>
      <x:c r="K23" s="11"/>
      <x:c r="L23" s="11"/>
      <x:c r="M23" s="11"/>
      <x:c r="N23" s="11"/>
      <x:c r="O23" s="11"/>
      <x:c r="P23" s="11"/>
      <x:c r="Q23" s="16" t="str">
        <x:f>IF(A23="","",IF(C23="研究",1,0))</x:f>
      </x:c>
      <x:c r="R23" s="16" t="str">
        <x:f>IF(OR(A23="",C23&lt;&gt;"研究",D23="",J23&lt;&gt;"已判定"),"",IF(COUNTIFS($D$6:D23,D23,$C$6:C23,"研究",$J$6:J23,"已判定")=1,1,0))</x:f>
      </x:c>
      <x:c r="S23" s="16" t="str">
        <x:f>IF(OR(A23="",C23&lt;&gt;"研究",D23="",J23&lt;&gt;"已判定"),"",IF(COUNTIFS($D$6:D23,D23,$B$6:B23,B23,$C$6:C23,"研究",$J$6:J23,"已判定")=1,1,0))</x:f>
      </x:c>
      <x:c r="T23" s="16" t="str">
        <x:f>IF(A23="","",IF(AND(D23&lt;&gt;"",J23="已判定",K23="是",L23="是",COUNTIF('笔记筛选'!$A$6:$A$35,E23)=1,COUNTIF('批次记录'!$A$6:$A$17,B23)=1,COUNTIF('证据索引'!$A$6:$A$105,F23)=1),IF(AND(INDEX('笔记筛选'!$O$6:$O$35,MATCH(E23,'笔记筛选'!$A$6:$A$35,0))=1,INDEX('证据索引'!$H$6:$H$105,MATCH(F23,'证据索引'!$A$6:$A$105,0))="可定位",INDEX('证据索引'!$F$6:$F$105,MATCH(F23,'证据索引'!$A$6:$A$105,0))="是",INDEX('证据索引'!$B$6:$B$105,MATCH(F23,'证据索引'!$A$6:$A$105,0))=E23),1,0),0))</x:f>
      </x:c>
      <x:c r="U23" s="16" t="str">
        <x:f>IF(R23="","",IF(AND(R23=1,COUNTIF($AA$6:$AA$205,D23)&gt;0),1,0))</x:f>
      </x:c>
      <x:c r="V23" s="16" t="str">
        <x:f>IF(R23="","",IF(AND(R23=1,COUNTIFS('问题评论关联'!$C$6:$C$205,D23,'问题评论关联'!$G$6:$G$205,1)&gt;0),1,0))</x:f>
      </x:c>
      <x:c r="W23" s="16" t="str">
        <x:f>IF(S23="","",IF(AND(S23=1,COUNTIFS('问题评论关联'!$C$6:$C$205,D23,'问题评论关联'!$G$6:$G$205,1)&gt;0),1,0))</x:f>
      </x:c>
      <x:c r="X23" s="16" t="str">
        <x:f>IF(A23="","",IF(AND(C23="研究",OR(D23="",J23&lt;&gt;"已判定")),1,0))</x:f>
      </x:c>
      <x:c r="Y23" s="16" t="str">
        <x:f>IF(A23="","",IF(COUNTIF('批次记录'!$A$6:$A$17,B23)&lt;&gt;1,"批次缺失或重复",IF(COUNTIF('笔记筛选'!$A$6:$A$35,E23)&lt;&gt;1,"笔记缺失或重复",IF(AND(K23="是",COUNTIF('证据索引'!$A$6:$A$105,F23)&lt;&gt;1),"证据缺失或重复",""))))</x:f>
      </x:c>
      <x:c r="Z23"/>
      <x:c r="AA23" s="16" t="str">
        <x:f>IF(A23="","",IF(AND(C23="研究",T23=1),D23,""))</x:f>
      </x:c>
    </x:row>
    <x:row r="24" ht="36" customHeight="1">
      <x:c r="A24" s="11"/>
      <x:c r="B24" s="11"/>
      <x:c r="C24" s="11"/>
      <x:c r="D24" s="11"/>
      <x:c r="E24" s="11"/>
      <x:c r="F24" s="11"/>
      <x:c r="G24" s="17"/>
      <x:c r="H24" s="11"/>
      <x:c r="I24" s="11"/>
      <x:c r="J24" s="11"/>
      <x:c r="K24" s="11"/>
      <x:c r="L24" s="11"/>
      <x:c r="M24" s="11"/>
      <x:c r="N24" s="11"/>
      <x:c r="O24" s="11"/>
      <x:c r="P24" s="11"/>
      <x:c r="Q24" s="16" t="str">
        <x:f>IF(A24="","",IF(C24="研究",1,0))</x:f>
      </x:c>
      <x:c r="R24" s="16" t="str">
        <x:f>IF(OR(A24="",C24&lt;&gt;"研究",D24="",J24&lt;&gt;"已判定"),"",IF(COUNTIFS($D$6:D24,D24,$C$6:C24,"研究",$J$6:J24,"已判定")=1,1,0))</x:f>
      </x:c>
      <x:c r="S24" s="16" t="str">
        <x:f>IF(OR(A24="",C24&lt;&gt;"研究",D24="",J24&lt;&gt;"已判定"),"",IF(COUNTIFS($D$6:D24,D24,$B$6:B24,B24,$C$6:C24,"研究",$J$6:J24,"已判定")=1,1,0))</x:f>
      </x:c>
      <x:c r="T24" s="16" t="str">
        <x:f>IF(A24="","",IF(AND(D24&lt;&gt;"",J24="已判定",K24="是",L24="是",COUNTIF('笔记筛选'!$A$6:$A$35,E24)=1,COUNTIF('批次记录'!$A$6:$A$17,B24)=1,COUNTIF('证据索引'!$A$6:$A$105,F24)=1),IF(AND(INDEX('笔记筛选'!$O$6:$O$35,MATCH(E24,'笔记筛选'!$A$6:$A$35,0))=1,INDEX('证据索引'!$H$6:$H$105,MATCH(F24,'证据索引'!$A$6:$A$105,0))="可定位",INDEX('证据索引'!$F$6:$F$105,MATCH(F24,'证据索引'!$A$6:$A$105,0))="是",INDEX('证据索引'!$B$6:$B$105,MATCH(F24,'证据索引'!$A$6:$A$105,0))=E24),1,0),0))</x:f>
      </x:c>
      <x:c r="U24" s="16" t="str">
        <x:f>IF(R24="","",IF(AND(R24=1,COUNTIF($AA$6:$AA$205,D24)&gt;0),1,0))</x:f>
      </x:c>
      <x:c r="V24" s="16" t="str">
        <x:f>IF(R24="","",IF(AND(R24=1,COUNTIFS('问题评论关联'!$C$6:$C$205,D24,'问题评论关联'!$G$6:$G$205,1)&gt;0),1,0))</x:f>
      </x:c>
      <x:c r="W24" s="16" t="str">
        <x:f>IF(S24="","",IF(AND(S24=1,COUNTIFS('问题评论关联'!$C$6:$C$205,D24,'问题评论关联'!$G$6:$G$205,1)&gt;0),1,0))</x:f>
      </x:c>
      <x:c r="X24" s="16" t="str">
        <x:f>IF(A24="","",IF(AND(C24="研究",OR(D24="",J24&lt;&gt;"已判定")),1,0))</x:f>
      </x:c>
      <x:c r="Y24" s="16" t="str">
        <x:f>IF(A24="","",IF(COUNTIF('批次记录'!$A$6:$A$17,B24)&lt;&gt;1,"批次缺失或重复",IF(COUNTIF('笔记筛选'!$A$6:$A$35,E24)&lt;&gt;1,"笔记缺失或重复",IF(AND(K24="是",COUNTIF('证据索引'!$A$6:$A$105,F24)&lt;&gt;1),"证据缺失或重复",""))))</x:f>
      </x:c>
      <x:c r="Z24"/>
      <x:c r="AA24" s="16" t="str">
        <x:f>IF(A24="","",IF(AND(C24="研究",T24=1),D24,""))</x:f>
      </x:c>
    </x:row>
    <x:row r="25" ht="36" customHeight="1">
      <x:c r="A25" s="11"/>
      <x:c r="B25" s="11"/>
      <x:c r="C25" s="11"/>
      <x:c r="D25" s="11"/>
      <x:c r="E25" s="11"/>
      <x:c r="F25" s="11"/>
      <x:c r="G25" s="17"/>
      <x:c r="H25" s="11"/>
      <x:c r="I25" s="11"/>
      <x:c r="J25" s="11"/>
      <x:c r="K25" s="11"/>
      <x:c r="L25" s="11"/>
      <x:c r="M25" s="11"/>
      <x:c r="N25" s="11"/>
      <x:c r="O25" s="11"/>
      <x:c r="P25" s="11"/>
      <x:c r="Q25" s="16" t="str">
        <x:f>IF(A25="","",IF(C25="研究",1,0))</x:f>
      </x:c>
      <x:c r="R25" s="16" t="str">
        <x:f>IF(OR(A25="",C25&lt;&gt;"研究",D25="",J25&lt;&gt;"已判定"),"",IF(COUNTIFS($D$6:D25,D25,$C$6:C25,"研究",$J$6:J25,"已判定")=1,1,0))</x:f>
      </x:c>
      <x:c r="S25" s="16" t="str">
        <x:f>IF(OR(A25="",C25&lt;&gt;"研究",D25="",J25&lt;&gt;"已判定"),"",IF(COUNTIFS($D$6:D25,D25,$B$6:B25,B25,$C$6:C25,"研究",$J$6:J25,"已判定")=1,1,0))</x:f>
      </x:c>
      <x:c r="T25" s="16" t="str">
        <x:f>IF(A25="","",IF(AND(D25&lt;&gt;"",J25="已判定",K25="是",L25="是",COUNTIF('笔记筛选'!$A$6:$A$35,E25)=1,COUNTIF('批次记录'!$A$6:$A$17,B25)=1,COUNTIF('证据索引'!$A$6:$A$105,F25)=1),IF(AND(INDEX('笔记筛选'!$O$6:$O$35,MATCH(E25,'笔记筛选'!$A$6:$A$35,0))=1,INDEX('证据索引'!$H$6:$H$105,MATCH(F25,'证据索引'!$A$6:$A$105,0))="可定位",INDEX('证据索引'!$F$6:$F$105,MATCH(F25,'证据索引'!$A$6:$A$105,0))="是",INDEX('证据索引'!$B$6:$B$105,MATCH(F25,'证据索引'!$A$6:$A$105,0))=E25),1,0),0))</x:f>
      </x:c>
      <x:c r="U25" s="16" t="str">
        <x:f>IF(R25="","",IF(AND(R25=1,COUNTIF($AA$6:$AA$205,D25)&gt;0),1,0))</x:f>
      </x:c>
      <x:c r="V25" s="16" t="str">
        <x:f>IF(R25="","",IF(AND(R25=1,COUNTIFS('问题评论关联'!$C$6:$C$205,D25,'问题评论关联'!$G$6:$G$205,1)&gt;0),1,0))</x:f>
      </x:c>
      <x:c r="W25" s="16" t="str">
        <x:f>IF(S25="","",IF(AND(S25=1,COUNTIFS('问题评论关联'!$C$6:$C$205,D25,'问题评论关联'!$G$6:$G$205,1)&gt;0),1,0))</x:f>
      </x:c>
      <x:c r="X25" s="16" t="str">
        <x:f>IF(A25="","",IF(AND(C25="研究",OR(D25="",J25&lt;&gt;"已判定")),1,0))</x:f>
      </x:c>
      <x:c r="Y25" s="16" t="str">
        <x:f>IF(A25="","",IF(COUNTIF('批次记录'!$A$6:$A$17,B25)&lt;&gt;1,"批次缺失或重复",IF(COUNTIF('笔记筛选'!$A$6:$A$35,E25)&lt;&gt;1,"笔记缺失或重复",IF(AND(K25="是",COUNTIF('证据索引'!$A$6:$A$105,F25)&lt;&gt;1),"证据缺失或重复",""))))</x:f>
      </x:c>
      <x:c r="Z25"/>
      <x:c r="AA25" s="16" t="str">
        <x:f>IF(A25="","",IF(AND(C25="研究",T25=1),D25,""))</x:f>
      </x:c>
    </x:row>
    <x:row r="26" ht="36" customHeight="1">
      <x:c r="A26" s="11"/>
      <x:c r="B26" s="11"/>
      <x:c r="C26" s="11"/>
      <x:c r="D26" s="11"/>
      <x:c r="E26" s="11"/>
      <x:c r="F26" s="11"/>
      <x:c r="G26" s="17"/>
      <x:c r="H26" s="11"/>
      <x:c r="I26" s="11"/>
      <x:c r="J26" s="11"/>
      <x:c r="K26" s="11"/>
      <x:c r="L26" s="11"/>
      <x:c r="M26" s="11"/>
      <x:c r="N26" s="11"/>
      <x:c r="O26" s="11"/>
      <x:c r="P26" s="11"/>
      <x:c r="Q26" s="16" t="str">
        <x:f>IF(A26="","",IF(C26="研究",1,0))</x:f>
      </x:c>
      <x:c r="R26" s="16" t="str">
        <x:f>IF(OR(A26="",C26&lt;&gt;"研究",D26="",J26&lt;&gt;"已判定"),"",IF(COUNTIFS($D$6:D26,D26,$C$6:C26,"研究",$J$6:J26,"已判定")=1,1,0))</x:f>
      </x:c>
      <x:c r="S26" s="16" t="str">
        <x:f>IF(OR(A26="",C26&lt;&gt;"研究",D26="",J26&lt;&gt;"已判定"),"",IF(COUNTIFS($D$6:D26,D26,$B$6:B26,B26,$C$6:C26,"研究",$J$6:J26,"已判定")=1,1,0))</x:f>
      </x:c>
      <x:c r="T26" s="16" t="str">
        <x:f>IF(A26="","",IF(AND(D26&lt;&gt;"",J26="已判定",K26="是",L26="是",COUNTIF('笔记筛选'!$A$6:$A$35,E26)=1,COUNTIF('批次记录'!$A$6:$A$17,B26)=1,COUNTIF('证据索引'!$A$6:$A$105,F26)=1),IF(AND(INDEX('笔记筛选'!$O$6:$O$35,MATCH(E26,'笔记筛选'!$A$6:$A$35,0))=1,INDEX('证据索引'!$H$6:$H$105,MATCH(F26,'证据索引'!$A$6:$A$105,0))="可定位",INDEX('证据索引'!$F$6:$F$105,MATCH(F26,'证据索引'!$A$6:$A$105,0))="是",INDEX('证据索引'!$B$6:$B$105,MATCH(F26,'证据索引'!$A$6:$A$105,0))=E26),1,0),0))</x:f>
      </x:c>
      <x:c r="U26" s="16" t="str">
        <x:f>IF(R26="","",IF(AND(R26=1,COUNTIF($AA$6:$AA$205,D26)&gt;0),1,0))</x:f>
      </x:c>
      <x:c r="V26" s="16" t="str">
        <x:f>IF(R26="","",IF(AND(R26=1,COUNTIFS('问题评论关联'!$C$6:$C$205,D26,'问题评论关联'!$G$6:$G$205,1)&gt;0),1,0))</x:f>
      </x:c>
      <x:c r="W26" s="16" t="str">
        <x:f>IF(S26="","",IF(AND(S26=1,COUNTIFS('问题评论关联'!$C$6:$C$205,D26,'问题评论关联'!$G$6:$G$205,1)&gt;0),1,0))</x:f>
      </x:c>
      <x:c r="X26" s="16" t="str">
        <x:f>IF(A26="","",IF(AND(C26="研究",OR(D26="",J26&lt;&gt;"已判定")),1,0))</x:f>
      </x:c>
      <x:c r="Y26" s="16" t="str">
        <x:f>IF(A26="","",IF(COUNTIF('批次记录'!$A$6:$A$17,B26)&lt;&gt;1,"批次缺失或重复",IF(COUNTIF('笔记筛选'!$A$6:$A$35,E26)&lt;&gt;1,"笔记缺失或重复",IF(AND(K26="是",COUNTIF('证据索引'!$A$6:$A$105,F26)&lt;&gt;1),"证据缺失或重复",""))))</x:f>
      </x:c>
      <x:c r="Z26"/>
      <x:c r="AA26" s="16" t="str">
        <x:f>IF(A26="","",IF(AND(C26="研究",T26=1),D26,""))</x:f>
      </x:c>
    </x:row>
    <x:row r="27" ht="36" customHeight="1">
      <x:c r="A27" s="11"/>
      <x:c r="B27" s="11"/>
      <x:c r="C27" s="11"/>
      <x:c r="D27" s="11"/>
      <x:c r="E27" s="11"/>
      <x:c r="F27" s="11"/>
      <x:c r="G27" s="17"/>
      <x:c r="H27" s="11"/>
      <x:c r="I27" s="11"/>
      <x:c r="J27" s="11"/>
      <x:c r="K27" s="11"/>
      <x:c r="L27" s="11"/>
      <x:c r="M27" s="11"/>
      <x:c r="N27" s="11"/>
      <x:c r="O27" s="11"/>
      <x:c r="P27" s="11"/>
      <x:c r="Q27" s="16" t="str">
        <x:f>IF(A27="","",IF(C27="研究",1,0))</x:f>
      </x:c>
      <x:c r="R27" s="16" t="str">
        <x:f>IF(OR(A27="",C27&lt;&gt;"研究",D27="",J27&lt;&gt;"已判定"),"",IF(COUNTIFS($D$6:D27,D27,$C$6:C27,"研究",$J$6:J27,"已判定")=1,1,0))</x:f>
      </x:c>
      <x:c r="S27" s="16" t="str">
        <x:f>IF(OR(A27="",C27&lt;&gt;"研究",D27="",J27&lt;&gt;"已判定"),"",IF(COUNTIFS($D$6:D27,D27,$B$6:B27,B27,$C$6:C27,"研究",$J$6:J27,"已判定")=1,1,0))</x:f>
      </x:c>
      <x:c r="T27" s="16" t="str">
        <x:f>IF(A27="","",IF(AND(D27&lt;&gt;"",J27="已判定",K27="是",L27="是",COUNTIF('笔记筛选'!$A$6:$A$35,E27)=1,COUNTIF('批次记录'!$A$6:$A$17,B27)=1,COUNTIF('证据索引'!$A$6:$A$105,F27)=1),IF(AND(INDEX('笔记筛选'!$O$6:$O$35,MATCH(E27,'笔记筛选'!$A$6:$A$35,0))=1,INDEX('证据索引'!$H$6:$H$105,MATCH(F27,'证据索引'!$A$6:$A$105,0))="可定位",INDEX('证据索引'!$F$6:$F$105,MATCH(F27,'证据索引'!$A$6:$A$105,0))="是",INDEX('证据索引'!$B$6:$B$105,MATCH(F27,'证据索引'!$A$6:$A$105,0))=E27),1,0),0))</x:f>
      </x:c>
      <x:c r="U27" s="16" t="str">
        <x:f>IF(R27="","",IF(AND(R27=1,COUNTIF($AA$6:$AA$205,D27)&gt;0),1,0))</x:f>
      </x:c>
      <x:c r="V27" s="16" t="str">
        <x:f>IF(R27="","",IF(AND(R27=1,COUNTIFS('问题评论关联'!$C$6:$C$205,D27,'问题评论关联'!$G$6:$G$205,1)&gt;0),1,0))</x:f>
      </x:c>
      <x:c r="W27" s="16" t="str">
        <x:f>IF(S27="","",IF(AND(S27=1,COUNTIFS('问题评论关联'!$C$6:$C$205,D27,'问题评论关联'!$G$6:$G$205,1)&gt;0),1,0))</x:f>
      </x:c>
      <x:c r="X27" s="16" t="str">
        <x:f>IF(A27="","",IF(AND(C27="研究",OR(D27="",J27&lt;&gt;"已判定")),1,0))</x:f>
      </x:c>
      <x:c r="Y27" s="16" t="str">
        <x:f>IF(A27="","",IF(COUNTIF('批次记录'!$A$6:$A$17,B27)&lt;&gt;1,"批次缺失或重复",IF(COUNTIF('笔记筛选'!$A$6:$A$35,E27)&lt;&gt;1,"笔记缺失或重复",IF(AND(K27="是",COUNTIF('证据索引'!$A$6:$A$105,F27)&lt;&gt;1),"证据缺失或重复",""))))</x:f>
      </x:c>
      <x:c r="Z27"/>
      <x:c r="AA27" s="16" t="str">
        <x:f>IF(A27="","",IF(AND(C27="研究",T27=1),D27,""))</x:f>
      </x:c>
    </x:row>
    <x:row r="28" ht="36" customHeight="1">
      <x:c r="A28" s="11"/>
      <x:c r="B28" s="11"/>
      <x:c r="C28" s="11"/>
      <x:c r="D28" s="11"/>
      <x:c r="E28" s="11"/>
      <x:c r="F28" s="11"/>
      <x:c r="G28" s="17"/>
      <x:c r="H28" s="11"/>
      <x:c r="I28" s="11"/>
      <x:c r="J28" s="11"/>
      <x:c r="K28" s="11"/>
      <x:c r="L28" s="11"/>
      <x:c r="M28" s="11"/>
      <x:c r="N28" s="11"/>
      <x:c r="O28" s="11"/>
      <x:c r="P28" s="11"/>
      <x:c r="Q28" s="16" t="str">
        <x:f>IF(A28="","",IF(C28="研究",1,0))</x:f>
      </x:c>
      <x:c r="R28" s="16" t="str">
        <x:f>IF(OR(A28="",C28&lt;&gt;"研究",D28="",J28&lt;&gt;"已判定"),"",IF(COUNTIFS($D$6:D28,D28,$C$6:C28,"研究",$J$6:J28,"已判定")=1,1,0))</x:f>
      </x:c>
      <x:c r="S28" s="16" t="str">
        <x:f>IF(OR(A28="",C28&lt;&gt;"研究",D28="",J28&lt;&gt;"已判定"),"",IF(COUNTIFS($D$6:D28,D28,$B$6:B28,B28,$C$6:C28,"研究",$J$6:J28,"已判定")=1,1,0))</x:f>
      </x:c>
      <x:c r="T28" s="16" t="str">
        <x:f>IF(A28="","",IF(AND(D28&lt;&gt;"",J28="已判定",K28="是",L28="是",COUNTIF('笔记筛选'!$A$6:$A$35,E28)=1,COUNTIF('批次记录'!$A$6:$A$17,B28)=1,COUNTIF('证据索引'!$A$6:$A$105,F28)=1),IF(AND(INDEX('笔记筛选'!$O$6:$O$35,MATCH(E28,'笔记筛选'!$A$6:$A$35,0))=1,INDEX('证据索引'!$H$6:$H$105,MATCH(F28,'证据索引'!$A$6:$A$105,0))="可定位",INDEX('证据索引'!$F$6:$F$105,MATCH(F28,'证据索引'!$A$6:$A$105,0))="是",INDEX('证据索引'!$B$6:$B$105,MATCH(F28,'证据索引'!$A$6:$A$105,0))=E28),1,0),0))</x:f>
      </x:c>
      <x:c r="U28" s="16" t="str">
        <x:f>IF(R28="","",IF(AND(R28=1,COUNTIF($AA$6:$AA$205,D28)&gt;0),1,0))</x:f>
      </x:c>
      <x:c r="V28" s="16" t="str">
        <x:f>IF(R28="","",IF(AND(R28=1,COUNTIFS('问题评论关联'!$C$6:$C$205,D28,'问题评论关联'!$G$6:$G$205,1)&gt;0),1,0))</x:f>
      </x:c>
      <x:c r="W28" s="16" t="str">
        <x:f>IF(S28="","",IF(AND(S28=1,COUNTIFS('问题评论关联'!$C$6:$C$205,D28,'问题评论关联'!$G$6:$G$205,1)&gt;0),1,0))</x:f>
      </x:c>
      <x:c r="X28" s="16" t="str">
        <x:f>IF(A28="","",IF(AND(C28="研究",OR(D28="",J28&lt;&gt;"已判定")),1,0))</x:f>
      </x:c>
      <x:c r="Y28" s="16" t="str">
        <x:f>IF(A28="","",IF(COUNTIF('批次记录'!$A$6:$A$17,B28)&lt;&gt;1,"批次缺失或重复",IF(COUNTIF('笔记筛选'!$A$6:$A$35,E28)&lt;&gt;1,"笔记缺失或重复",IF(AND(K28="是",COUNTIF('证据索引'!$A$6:$A$105,F28)&lt;&gt;1),"证据缺失或重复",""))))</x:f>
      </x:c>
      <x:c r="Z28"/>
      <x:c r="AA28" s="16" t="str">
        <x:f>IF(A28="","",IF(AND(C28="研究",T28=1),D28,""))</x:f>
      </x:c>
    </x:row>
    <x:row r="29" ht="36" customHeight="1">
      <x:c r="A29" s="11"/>
      <x:c r="B29" s="11"/>
      <x:c r="C29" s="11"/>
      <x:c r="D29" s="11"/>
      <x:c r="E29" s="11"/>
      <x:c r="F29" s="11"/>
      <x:c r="G29" s="17"/>
      <x:c r="H29" s="11"/>
      <x:c r="I29" s="11"/>
      <x:c r="J29" s="11"/>
      <x:c r="K29" s="11"/>
      <x:c r="L29" s="11"/>
      <x:c r="M29" s="11"/>
      <x:c r="N29" s="11"/>
      <x:c r="O29" s="11"/>
      <x:c r="P29" s="11"/>
      <x:c r="Q29" s="16" t="str">
        <x:f>IF(A29="","",IF(C29="研究",1,0))</x:f>
      </x:c>
      <x:c r="R29" s="16" t="str">
        <x:f>IF(OR(A29="",C29&lt;&gt;"研究",D29="",J29&lt;&gt;"已判定"),"",IF(COUNTIFS($D$6:D29,D29,$C$6:C29,"研究",$J$6:J29,"已判定")=1,1,0))</x:f>
      </x:c>
      <x:c r="S29" s="16" t="str">
        <x:f>IF(OR(A29="",C29&lt;&gt;"研究",D29="",J29&lt;&gt;"已判定"),"",IF(COUNTIFS($D$6:D29,D29,$B$6:B29,B29,$C$6:C29,"研究",$J$6:J29,"已判定")=1,1,0))</x:f>
      </x:c>
      <x:c r="T29" s="16" t="str">
        <x:f>IF(A29="","",IF(AND(D29&lt;&gt;"",J29="已判定",K29="是",L29="是",COUNTIF('笔记筛选'!$A$6:$A$35,E29)=1,COUNTIF('批次记录'!$A$6:$A$17,B29)=1,COUNTIF('证据索引'!$A$6:$A$105,F29)=1),IF(AND(INDEX('笔记筛选'!$O$6:$O$35,MATCH(E29,'笔记筛选'!$A$6:$A$35,0))=1,INDEX('证据索引'!$H$6:$H$105,MATCH(F29,'证据索引'!$A$6:$A$105,0))="可定位",INDEX('证据索引'!$F$6:$F$105,MATCH(F29,'证据索引'!$A$6:$A$105,0))="是",INDEX('证据索引'!$B$6:$B$105,MATCH(F29,'证据索引'!$A$6:$A$105,0))=E29),1,0),0))</x:f>
      </x:c>
      <x:c r="U29" s="16" t="str">
        <x:f>IF(R29="","",IF(AND(R29=1,COUNTIF($AA$6:$AA$205,D29)&gt;0),1,0))</x:f>
      </x:c>
      <x:c r="V29" s="16" t="str">
        <x:f>IF(R29="","",IF(AND(R29=1,COUNTIFS('问题评论关联'!$C$6:$C$205,D29,'问题评论关联'!$G$6:$G$205,1)&gt;0),1,0))</x:f>
      </x:c>
      <x:c r="W29" s="16" t="str">
        <x:f>IF(S29="","",IF(AND(S29=1,COUNTIFS('问题评论关联'!$C$6:$C$205,D29,'问题评论关联'!$G$6:$G$205,1)&gt;0),1,0))</x:f>
      </x:c>
      <x:c r="X29" s="16" t="str">
        <x:f>IF(A29="","",IF(AND(C29="研究",OR(D29="",J29&lt;&gt;"已判定")),1,0))</x:f>
      </x:c>
      <x:c r="Y29" s="16" t="str">
        <x:f>IF(A29="","",IF(COUNTIF('批次记录'!$A$6:$A$17,B29)&lt;&gt;1,"批次缺失或重复",IF(COUNTIF('笔记筛选'!$A$6:$A$35,E29)&lt;&gt;1,"笔记缺失或重复",IF(AND(K29="是",COUNTIF('证据索引'!$A$6:$A$105,F29)&lt;&gt;1),"证据缺失或重复",""))))</x:f>
      </x:c>
      <x:c r="Z29"/>
      <x:c r="AA29" s="16" t="str">
        <x:f>IF(A29="","",IF(AND(C29="研究",T29=1),D29,""))</x:f>
      </x:c>
    </x:row>
    <x:row r="30" ht="36" customHeight="1">
      <x:c r="A30" s="11"/>
      <x:c r="B30" s="11"/>
      <x:c r="C30" s="11"/>
      <x:c r="D30" s="11"/>
      <x:c r="E30" s="11"/>
      <x:c r="F30" s="11"/>
      <x:c r="G30" s="17"/>
      <x:c r="H30" s="11"/>
      <x:c r="I30" s="11"/>
      <x:c r="J30" s="11"/>
      <x:c r="K30" s="11"/>
      <x:c r="L30" s="11"/>
      <x:c r="M30" s="11"/>
      <x:c r="N30" s="11"/>
      <x:c r="O30" s="11"/>
      <x:c r="P30" s="11"/>
      <x:c r="Q30" s="16" t="str">
        <x:f>IF(A30="","",IF(C30="研究",1,0))</x:f>
      </x:c>
      <x:c r="R30" s="16" t="str">
        <x:f>IF(OR(A30="",C30&lt;&gt;"研究",D30="",J30&lt;&gt;"已判定"),"",IF(COUNTIFS($D$6:D30,D30,$C$6:C30,"研究",$J$6:J30,"已判定")=1,1,0))</x:f>
      </x:c>
      <x:c r="S30" s="16" t="str">
        <x:f>IF(OR(A30="",C30&lt;&gt;"研究",D30="",J30&lt;&gt;"已判定"),"",IF(COUNTIFS($D$6:D30,D30,$B$6:B30,B30,$C$6:C30,"研究",$J$6:J30,"已判定")=1,1,0))</x:f>
      </x:c>
      <x:c r="T30" s="16" t="str">
        <x:f>IF(A30="","",IF(AND(D30&lt;&gt;"",J30="已判定",K30="是",L30="是",COUNTIF('笔记筛选'!$A$6:$A$35,E30)=1,COUNTIF('批次记录'!$A$6:$A$17,B30)=1,COUNTIF('证据索引'!$A$6:$A$105,F30)=1),IF(AND(INDEX('笔记筛选'!$O$6:$O$35,MATCH(E30,'笔记筛选'!$A$6:$A$35,0))=1,INDEX('证据索引'!$H$6:$H$105,MATCH(F30,'证据索引'!$A$6:$A$105,0))="可定位",INDEX('证据索引'!$F$6:$F$105,MATCH(F30,'证据索引'!$A$6:$A$105,0))="是",INDEX('证据索引'!$B$6:$B$105,MATCH(F30,'证据索引'!$A$6:$A$105,0))=E30),1,0),0))</x:f>
      </x:c>
      <x:c r="U30" s="16" t="str">
        <x:f>IF(R30="","",IF(AND(R30=1,COUNTIF($AA$6:$AA$205,D30)&gt;0),1,0))</x:f>
      </x:c>
      <x:c r="V30" s="16" t="str">
        <x:f>IF(R30="","",IF(AND(R30=1,COUNTIFS('问题评论关联'!$C$6:$C$205,D30,'问题评论关联'!$G$6:$G$205,1)&gt;0),1,0))</x:f>
      </x:c>
      <x:c r="W30" s="16" t="str">
        <x:f>IF(S30="","",IF(AND(S30=1,COUNTIFS('问题评论关联'!$C$6:$C$205,D30,'问题评论关联'!$G$6:$G$205,1)&gt;0),1,0))</x:f>
      </x:c>
      <x:c r="X30" s="16" t="str">
        <x:f>IF(A30="","",IF(AND(C30="研究",OR(D30="",J30&lt;&gt;"已判定")),1,0))</x:f>
      </x:c>
      <x:c r="Y30" s="16" t="str">
        <x:f>IF(A30="","",IF(COUNTIF('批次记录'!$A$6:$A$17,B30)&lt;&gt;1,"批次缺失或重复",IF(COUNTIF('笔记筛选'!$A$6:$A$35,E30)&lt;&gt;1,"笔记缺失或重复",IF(AND(K30="是",COUNTIF('证据索引'!$A$6:$A$105,F30)&lt;&gt;1),"证据缺失或重复",""))))</x:f>
      </x:c>
      <x:c r="Z30"/>
      <x:c r="AA30" s="16" t="str">
        <x:f>IF(A30="","",IF(AND(C30="研究",T30=1),D30,""))</x:f>
      </x:c>
    </x:row>
    <x:row r="31" ht="36" customHeight="1">
      <x:c r="A31" s="11"/>
      <x:c r="B31" s="11"/>
      <x:c r="C31" s="11"/>
      <x:c r="D31" s="11"/>
      <x:c r="E31" s="11"/>
      <x:c r="F31" s="11"/>
      <x:c r="G31" s="17"/>
      <x:c r="H31" s="11"/>
      <x:c r="I31" s="11"/>
      <x:c r="J31" s="11"/>
      <x:c r="K31" s="11"/>
      <x:c r="L31" s="11"/>
      <x:c r="M31" s="11"/>
      <x:c r="N31" s="11"/>
      <x:c r="O31" s="11"/>
      <x:c r="P31" s="11"/>
      <x:c r="Q31" s="16" t="str">
        <x:f>IF(A31="","",IF(C31="研究",1,0))</x:f>
      </x:c>
      <x:c r="R31" s="16" t="str">
        <x:f>IF(OR(A31="",C31&lt;&gt;"研究",D31="",J31&lt;&gt;"已判定"),"",IF(COUNTIFS($D$6:D31,D31,$C$6:C31,"研究",$J$6:J31,"已判定")=1,1,0))</x:f>
      </x:c>
      <x:c r="S31" s="16" t="str">
        <x:f>IF(OR(A31="",C31&lt;&gt;"研究",D31="",J31&lt;&gt;"已判定"),"",IF(COUNTIFS($D$6:D31,D31,$B$6:B31,B31,$C$6:C31,"研究",$J$6:J31,"已判定")=1,1,0))</x:f>
      </x:c>
      <x:c r="T31" s="16" t="str">
        <x:f>IF(A31="","",IF(AND(D31&lt;&gt;"",J31="已判定",K31="是",L31="是",COUNTIF('笔记筛选'!$A$6:$A$35,E31)=1,COUNTIF('批次记录'!$A$6:$A$17,B31)=1,COUNTIF('证据索引'!$A$6:$A$105,F31)=1),IF(AND(INDEX('笔记筛选'!$O$6:$O$35,MATCH(E31,'笔记筛选'!$A$6:$A$35,0))=1,INDEX('证据索引'!$H$6:$H$105,MATCH(F31,'证据索引'!$A$6:$A$105,0))="可定位",INDEX('证据索引'!$F$6:$F$105,MATCH(F31,'证据索引'!$A$6:$A$105,0))="是",INDEX('证据索引'!$B$6:$B$105,MATCH(F31,'证据索引'!$A$6:$A$105,0))=E31),1,0),0))</x:f>
      </x:c>
      <x:c r="U31" s="16" t="str">
        <x:f>IF(R31="","",IF(AND(R31=1,COUNTIF($AA$6:$AA$205,D31)&gt;0),1,0))</x:f>
      </x:c>
      <x:c r="V31" s="16" t="str">
        <x:f>IF(R31="","",IF(AND(R31=1,COUNTIFS('问题评论关联'!$C$6:$C$205,D31,'问题评论关联'!$G$6:$G$205,1)&gt;0),1,0))</x:f>
      </x:c>
      <x:c r="W31" s="16" t="str">
        <x:f>IF(S31="","",IF(AND(S31=1,COUNTIFS('问题评论关联'!$C$6:$C$205,D31,'问题评论关联'!$G$6:$G$205,1)&gt;0),1,0))</x:f>
      </x:c>
      <x:c r="X31" s="16" t="str">
        <x:f>IF(A31="","",IF(AND(C31="研究",OR(D31="",J31&lt;&gt;"已判定")),1,0))</x:f>
      </x:c>
      <x:c r="Y31" s="16" t="str">
        <x:f>IF(A31="","",IF(COUNTIF('批次记录'!$A$6:$A$17,B31)&lt;&gt;1,"批次缺失或重复",IF(COUNTIF('笔记筛选'!$A$6:$A$35,E31)&lt;&gt;1,"笔记缺失或重复",IF(AND(K31="是",COUNTIF('证据索引'!$A$6:$A$105,F31)&lt;&gt;1),"证据缺失或重复",""))))</x:f>
      </x:c>
      <x:c r="Z31"/>
      <x:c r="AA31" s="16" t="str">
        <x:f>IF(A31="","",IF(AND(C31="研究",T31=1),D31,""))</x:f>
      </x:c>
    </x:row>
    <x:row r="32" ht="36" customHeight="1">
      <x:c r="A32" s="11"/>
      <x:c r="B32" s="11"/>
      <x:c r="C32" s="11"/>
      <x:c r="D32" s="11"/>
      <x:c r="E32" s="11"/>
      <x:c r="F32" s="11"/>
      <x:c r="G32" s="17"/>
      <x:c r="H32" s="11"/>
      <x:c r="I32" s="11"/>
      <x:c r="J32" s="11"/>
      <x:c r="K32" s="11"/>
      <x:c r="L32" s="11"/>
      <x:c r="M32" s="11"/>
      <x:c r="N32" s="11"/>
      <x:c r="O32" s="11"/>
      <x:c r="P32" s="11"/>
      <x:c r="Q32" s="16" t="str">
        <x:f>IF(A32="","",IF(C32="研究",1,0))</x:f>
      </x:c>
      <x:c r="R32" s="16" t="str">
        <x:f>IF(OR(A32="",C32&lt;&gt;"研究",D32="",J32&lt;&gt;"已判定"),"",IF(COUNTIFS($D$6:D32,D32,$C$6:C32,"研究",$J$6:J32,"已判定")=1,1,0))</x:f>
      </x:c>
      <x:c r="S32" s="16" t="str">
        <x:f>IF(OR(A32="",C32&lt;&gt;"研究",D32="",J32&lt;&gt;"已判定"),"",IF(COUNTIFS($D$6:D32,D32,$B$6:B32,B32,$C$6:C32,"研究",$J$6:J32,"已判定")=1,1,0))</x:f>
      </x:c>
      <x:c r="T32" s="16" t="str">
        <x:f>IF(A32="","",IF(AND(D32&lt;&gt;"",J32="已判定",K32="是",L32="是",COUNTIF('笔记筛选'!$A$6:$A$35,E32)=1,COUNTIF('批次记录'!$A$6:$A$17,B32)=1,COUNTIF('证据索引'!$A$6:$A$105,F32)=1),IF(AND(INDEX('笔记筛选'!$O$6:$O$35,MATCH(E32,'笔记筛选'!$A$6:$A$35,0))=1,INDEX('证据索引'!$H$6:$H$105,MATCH(F32,'证据索引'!$A$6:$A$105,0))="可定位",INDEX('证据索引'!$F$6:$F$105,MATCH(F32,'证据索引'!$A$6:$A$105,0))="是",INDEX('证据索引'!$B$6:$B$105,MATCH(F32,'证据索引'!$A$6:$A$105,0))=E32),1,0),0))</x:f>
      </x:c>
      <x:c r="U32" s="16" t="str">
        <x:f>IF(R32="","",IF(AND(R32=1,COUNTIF($AA$6:$AA$205,D32)&gt;0),1,0))</x:f>
      </x:c>
      <x:c r="V32" s="16" t="str">
        <x:f>IF(R32="","",IF(AND(R32=1,COUNTIFS('问题评论关联'!$C$6:$C$205,D32,'问题评论关联'!$G$6:$G$205,1)&gt;0),1,0))</x:f>
      </x:c>
      <x:c r="W32" s="16" t="str">
        <x:f>IF(S32="","",IF(AND(S32=1,COUNTIFS('问题评论关联'!$C$6:$C$205,D32,'问题评论关联'!$G$6:$G$205,1)&gt;0),1,0))</x:f>
      </x:c>
      <x:c r="X32" s="16" t="str">
        <x:f>IF(A32="","",IF(AND(C32="研究",OR(D32="",J32&lt;&gt;"已判定")),1,0))</x:f>
      </x:c>
      <x:c r="Y32" s="16" t="str">
        <x:f>IF(A32="","",IF(COUNTIF('批次记录'!$A$6:$A$17,B32)&lt;&gt;1,"批次缺失或重复",IF(COUNTIF('笔记筛选'!$A$6:$A$35,E32)&lt;&gt;1,"笔记缺失或重复",IF(AND(K32="是",COUNTIF('证据索引'!$A$6:$A$105,F32)&lt;&gt;1),"证据缺失或重复",""))))</x:f>
      </x:c>
      <x:c r="Z32"/>
      <x:c r="AA32" s="16" t="str">
        <x:f>IF(A32="","",IF(AND(C32="研究",T32=1),D32,""))</x:f>
      </x:c>
    </x:row>
    <x:row r="33" ht="36" customHeight="1">
      <x:c r="A33" s="11"/>
      <x:c r="B33" s="11"/>
      <x:c r="C33" s="11"/>
      <x:c r="D33" s="11"/>
      <x:c r="E33" s="11"/>
      <x:c r="F33" s="11"/>
      <x:c r="G33" s="17"/>
      <x:c r="H33" s="11"/>
      <x:c r="I33" s="11"/>
      <x:c r="J33" s="11"/>
      <x:c r="K33" s="11"/>
      <x:c r="L33" s="11"/>
      <x:c r="M33" s="11"/>
      <x:c r="N33" s="11"/>
      <x:c r="O33" s="11"/>
      <x:c r="P33" s="11"/>
      <x:c r="Q33" s="16" t="str">
        <x:f>IF(A33="","",IF(C33="研究",1,0))</x:f>
      </x:c>
      <x:c r="R33" s="16" t="str">
        <x:f>IF(OR(A33="",C33&lt;&gt;"研究",D33="",J33&lt;&gt;"已判定"),"",IF(COUNTIFS($D$6:D33,D33,$C$6:C33,"研究",$J$6:J33,"已判定")=1,1,0))</x:f>
      </x:c>
      <x:c r="S33" s="16" t="str">
        <x:f>IF(OR(A33="",C33&lt;&gt;"研究",D33="",J33&lt;&gt;"已判定"),"",IF(COUNTIFS($D$6:D33,D33,$B$6:B33,B33,$C$6:C33,"研究",$J$6:J33,"已判定")=1,1,0))</x:f>
      </x:c>
      <x:c r="T33" s="16" t="str">
        <x:f>IF(A33="","",IF(AND(D33&lt;&gt;"",J33="已判定",K33="是",L33="是",COUNTIF('笔记筛选'!$A$6:$A$35,E33)=1,COUNTIF('批次记录'!$A$6:$A$17,B33)=1,COUNTIF('证据索引'!$A$6:$A$105,F33)=1),IF(AND(INDEX('笔记筛选'!$O$6:$O$35,MATCH(E33,'笔记筛选'!$A$6:$A$35,0))=1,INDEX('证据索引'!$H$6:$H$105,MATCH(F33,'证据索引'!$A$6:$A$105,0))="可定位",INDEX('证据索引'!$F$6:$F$105,MATCH(F33,'证据索引'!$A$6:$A$105,0))="是",INDEX('证据索引'!$B$6:$B$105,MATCH(F33,'证据索引'!$A$6:$A$105,0))=E33),1,0),0))</x:f>
      </x:c>
      <x:c r="U33" s="16" t="str">
        <x:f>IF(R33="","",IF(AND(R33=1,COUNTIF($AA$6:$AA$205,D33)&gt;0),1,0))</x:f>
      </x:c>
      <x:c r="V33" s="16" t="str">
        <x:f>IF(R33="","",IF(AND(R33=1,COUNTIFS('问题评论关联'!$C$6:$C$205,D33,'问题评论关联'!$G$6:$G$205,1)&gt;0),1,0))</x:f>
      </x:c>
      <x:c r="W33" s="16" t="str">
        <x:f>IF(S33="","",IF(AND(S33=1,COUNTIFS('问题评论关联'!$C$6:$C$205,D33,'问题评论关联'!$G$6:$G$205,1)&gt;0),1,0))</x:f>
      </x:c>
      <x:c r="X33" s="16" t="str">
        <x:f>IF(A33="","",IF(AND(C33="研究",OR(D33="",J33&lt;&gt;"已判定")),1,0))</x:f>
      </x:c>
      <x:c r="Y33" s="16" t="str">
        <x:f>IF(A33="","",IF(COUNTIF('批次记录'!$A$6:$A$17,B33)&lt;&gt;1,"批次缺失或重复",IF(COUNTIF('笔记筛选'!$A$6:$A$35,E33)&lt;&gt;1,"笔记缺失或重复",IF(AND(K33="是",COUNTIF('证据索引'!$A$6:$A$105,F33)&lt;&gt;1),"证据缺失或重复",""))))</x:f>
      </x:c>
      <x:c r="Z33"/>
      <x:c r="AA33" s="16" t="str">
        <x:f>IF(A33="","",IF(AND(C33="研究",T33=1),D33,""))</x:f>
      </x:c>
    </x:row>
    <x:row r="34" ht="36" customHeight="1">
      <x:c r="A34" s="11"/>
      <x:c r="B34" s="11"/>
      <x:c r="C34" s="11"/>
      <x:c r="D34" s="11"/>
      <x:c r="E34" s="11"/>
      <x:c r="F34" s="11"/>
      <x:c r="G34" s="17"/>
      <x:c r="H34" s="11"/>
      <x:c r="I34" s="11"/>
      <x:c r="J34" s="11"/>
      <x:c r="K34" s="11"/>
      <x:c r="L34" s="11"/>
      <x:c r="M34" s="11"/>
      <x:c r="N34" s="11"/>
      <x:c r="O34" s="11"/>
      <x:c r="P34" s="11"/>
      <x:c r="Q34" s="16" t="str">
        <x:f>IF(A34="","",IF(C34="研究",1,0))</x:f>
      </x:c>
      <x:c r="R34" s="16" t="str">
        <x:f>IF(OR(A34="",C34&lt;&gt;"研究",D34="",J34&lt;&gt;"已判定"),"",IF(COUNTIFS($D$6:D34,D34,$C$6:C34,"研究",$J$6:J34,"已判定")=1,1,0))</x:f>
      </x:c>
      <x:c r="S34" s="16" t="str">
        <x:f>IF(OR(A34="",C34&lt;&gt;"研究",D34="",J34&lt;&gt;"已判定"),"",IF(COUNTIFS($D$6:D34,D34,$B$6:B34,B34,$C$6:C34,"研究",$J$6:J34,"已判定")=1,1,0))</x:f>
      </x:c>
      <x:c r="T34" s="16" t="str">
        <x:f>IF(A34="","",IF(AND(D34&lt;&gt;"",J34="已判定",K34="是",L34="是",COUNTIF('笔记筛选'!$A$6:$A$35,E34)=1,COUNTIF('批次记录'!$A$6:$A$17,B34)=1,COUNTIF('证据索引'!$A$6:$A$105,F34)=1),IF(AND(INDEX('笔记筛选'!$O$6:$O$35,MATCH(E34,'笔记筛选'!$A$6:$A$35,0))=1,INDEX('证据索引'!$H$6:$H$105,MATCH(F34,'证据索引'!$A$6:$A$105,0))="可定位",INDEX('证据索引'!$F$6:$F$105,MATCH(F34,'证据索引'!$A$6:$A$105,0))="是",INDEX('证据索引'!$B$6:$B$105,MATCH(F34,'证据索引'!$A$6:$A$105,0))=E34),1,0),0))</x:f>
      </x:c>
      <x:c r="U34" s="16" t="str">
        <x:f>IF(R34="","",IF(AND(R34=1,COUNTIF($AA$6:$AA$205,D34)&gt;0),1,0))</x:f>
      </x:c>
      <x:c r="V34" s="16" t="str">
        <x:f>IF(R34="","",IF(AND(R34=1,COUNTIFS('问题评论关联'!$C$6:$C$205,D34,'问题评论关联'!$G$6:$G$205,1)&gt;0),1,0))</x:f>
      </x:c>
      <x:c r="W34" s="16" t="str">
        <x:f>IF(S34="","",IF(AND(S34=1,COUNTIFS('问题评论关联'!$C$6:$C$205,D34,'问题评论关联'!$G$6:$G$205,1)&gt;0),1,0))</x:f>
      </x:c>
      <x:c r="X34" s="16" t="str">
        <x:f>IF(A34="","",IF(AND(C34="研究",OR(D34="",J34&lt;&gt;"已判定")),1,0))</x:f>
      </x:c>
      <x:c r="Y34" s="16" t="str">
        <x:f>IF(A34="","",IF(COUNTIF('批次记录'!$A$6:$A$17,B34)&lt;&gt;1,"批次缺失或重复",IF(COUNTIF('笔记筛选'!$A$6:$A$35,E34)&lt;&gt;1,"笔记缺失或重复",IF(AND(K34="是",COUNTIF('证据索引'!$A$6:$A$105,F34)&lt;&gt;1),"证据缺失或重复",""))))</x:f>
      </x:c>
      <x:c r="Z34"/>
      <x:c r="AA34" s="16" t="str">
        <x:f>IF(A34="","",IF(AND(C34="研究",T34=1),D34,""))</x:f>
      </x:c>
    </x:row>
    <x:row r="35" ht="36" customHeight="1">
      <x:c r="A35" s="11"/>
      <x:c r="B35" s="11"/>
      <x:c r="C35" s="11"/>
      <x:c r="D35" s="11"/>
      <x:c r="E35" s="11"/>
      <x:c r="F35" s="11"/>
      <x:c r="G35" s="17"/>
      <x:c r="H35" s="11"/>
      <x:c r="I35" s="11"/>
      <x:c r="J35" s="11"/>
      <x:c r="K35" s="11"/>
      <x:c r="L35" s="11"/>
      <x:c r="M35" s="11"/>
      <x:c r="N35" s="11"/>
      <x:c r="O35" s="11"/>
      <x:c r="P35" s="11"/>
      <x:c r="Q35" s="16" t="str">
        <x:f>IF(A35="","",IF(C35="研究",1,0))</x:f>
      </x:c>
      <x:c r="R35" s="16" t="str">
        <x:f>IF(OR(A35="",C35&lt;&gt;"研究",D35="",J35&lt;&gt;"已判定"),"",IF(COUNTIFS($D$6:D35,D35,$C$6:C35,"研究",$J$6:J35,"已判定")=1,1,0))</x:f>
      </x:c>
      <x:c r="S35" s="16" t="str">
        <x:f>IF(OR(A35="",C35&lt;&gt;"研究",D35="",J35&lt;&gt;"已判定"),"",IF(COUNTIFS($D$6:D35,D35,$B$6:B35,B35,$C$6:C35,"研究",$J$6:J35,"已判定")=1,1,0))</x:f>
      </x:c>
      <x:c r="T35" s="16" t="str">
        <x:f>IF(A35="","",IF(AND(D35&lt;&gt;"",J35="已判定",K35="是",L35="是",COUNTIF('笔记筛选'!$A$6:$A$35,E35)=1,COUNTIF('批次记录'!$A$6:$A$17,B35)=1,COUNTIF('证据索引'!$A$6:$A$105,F35)=1),IF(AND(INDEX('笔记筛选'!$O$6:$O$35,MATCH(E35,'笔记筛选'!$A$6:$A$35,0))=1,INDEX('证据索引'!$H$6:$H$105,MATCH(F35,'证据索引'!$A$6:$A$105,0))="可定位",INDEX('证据索引'!$F$6:$F$105,MATCH(F35,'证据索引'!$A$6:$A$105,0))="是",INDEX('证据索引'!$B$6:$B$105,MATCH(F35,'证据索引'!$A$6:$A$105,0))=E35),1,0),0))</x:f>
      </x:c>
      <x:c r="U35" s="16" t="str">
        <x:f>IF(R35="","",IF(AND(R35=1,COUNTIF($AA$6:$AA$205,D35)&gt;0),1,0))</x:f>
      </x:c>
      <x:c r="V35" s="16" t="str">
        <x:f>IF(R35="","",IF(AND(R35=1,COUNTIFS('问题评论关联'!$C$6:$C$205,D35,'问题评论关联'!$G$6:$G$205,1)&gt;0),1,0))</x:f>
      </x:c>
      <x:c r="W35" s="16" t="str">
        <x:f>IF(S35="","",IF(AND(S35=1,COUNTIFS('问题评论关联'!$C$6:$C$205,D35,'问题评论关联'!$G$6:$G$205,1)&gt;0),1,0))</x:f>
      </x:c>
      <x:c r="X35" s="16" t="str">
        <x:f>IF(A35="","",IF(AND(C35="研究",OR(D35="",J35&lt;&gt;"已判定")),1,0))</x:f>
      </x:c>
      <x:c r="Y35" s="16" t="str">
        <x:f>IF(A35="","",IF(COUNTIF('批次记录'!$A$6:$A$17,B35)&lt;&gt;1,"批次缺失或重复",IF(COUNTIF('笔记筛选'!$A$6:$A$35,E35)&lt;&gt;1,"笔记缺失或重复",IF(AND(K35="是",COUNTIF('证据索引'!$A$6:$A$105,F35)&lt;&gt;1),"证据缺失或重复",""))))</x:f>
      </x:c>
      <x:c r="Z35"/>
      <x:c r="AA35" s="16" t="str">
        <x:f>IF(A35="","",IF(AND(C35="研究",T35=1),D35,""))</x:f>
      </x:c>
    </x:row>
    <x:row r="36" ht="36" customHeight="1">
      <x:c r="A36" s="11"/>
      <x:c r="B36" s="11"/>
      <x:c r="C36" s="11"/>
      <x:c r="D36" s="11"/>
      <x:c r="E36" s="11"/>
      <x:c r="F36" s="11"/>
      <x:c r="G36" s="17"/>
      <x:c r="H36" s="11"/>
      <x:c r="I36" s="11"/>
      <x:c r="J36" s="11"/>
      <x:c r="K36" s="11"/>
      <x:c r="L36" s="11"/>
      <x:c r="M36" s="11"/>
      <x:c r="N36" s="11"/>
      <x:c r="O36" s="11"/>
      <x:c r="P36" s="11"/>
      <x:c r="Q36" s="16" t="str">
        <x:f>IF(A36="","",IF(C36="研究",1,0))</x:f>
      </x:c>
      <x:c r="R36" s="16" t="str">
        <x:f>IF(OR(A36="",C36&lt;&gt;"研究",D36="",J36&lt;&gt;"已判定"),"",IF(COUNTIFS($D$6:D36,D36,$C$6:C36,"研究",$J$6:J36,"已判定")=1,1,0))</x:f>
      </x:c>
      <x:c r="S36" s="16" t="str">
        <x:f>IF(OR(A36="",C36&lt;&gt;"研究",D36="",J36&lt;&gt;"已判定"),"",IF(COUNTIFS($D$6:D36,D36,$B$6:B36,B36,$C$6:C36,"研究",$J$6:J36,"已判定")=1,1,0))</x:f>
      </x:c>
      <x:c r="T36" s="16" t="str">
        <x:f>IF(A36="","",IF(AND(D36&lt;&gt;"",J36="已判定",K36="是",L36="是",COUNTIF('笔记筛选'!$A$6:$A$35,E36)=1,COUNTIF('批次记录'!$A$6:$A$17,B36)=1,COUNTIF('证据索引'!$A$6:$A$105,F36)=1),IF(AND(INDEX('笔记筛选'!$O$6:$O$35,MATCH(E36,'笔记筛选'!$A$6:$A$35,0))=1,INDEX('证据索引'!$H$6:$H$105,MATCH(F36,'证据索引'!$A$6:$A$105,0))="可定位",INDEX('证据索引'!$F$6:$F$105,MATCH(F36,'证据索引'!$A$6:$A$105,0))="是",INDEX('证据索引'!$B$6:$B$105,MATCH(F36,'证据索引'!$A$6:$A$105,0))=E36),1,0),0))</x:f>
      </x:c>
      <x:c r="U36" s="16" t="str">
        <x:f>IF(R36="","",IF(AND(R36=1,COUNTIF($AA$6:$AA$205,D36)&gt;0),1,0))</x:f>
      </x:c>
      <x:c r="V36" s="16" t="str">
        <x:f>IF(R36="","",IF(AND(R36=1,COUNTIFS('问题评论关联'!$C$6:$C$205,D36,'问题评论关联'!$G$6:$G$205,1)&gt;0),1,0))</x:f>
      </x:c>
      <x:c r="W36" s="16" t="str">
        <x:f>IF(S36="","",IF(AND(S36=1,COUNTIFS('问题评论关联'!$C$6:$C$205,D36,'问题评论关联'!$G$6:$G$205,1)&gt;0),1,0))</x:f>
      </x:c>
      <x:c r="X36" s="16" t="str">
        <x:f>IF(A36="","",IF(AND(C36="研究",OR(D36="",J36&lt;&gt;"已判定")),1,0))</x:f>
      </x:c>
      <x:c r="Y36" s="16" t="str">
        <x:f>IF(A36="","",IF(COUNTIF('批次记录'!$A$6:$A$17,B36)&lt;&gt;1,"批次缺失或重复",IF(COUNTIF('笔记筛选'!$A$6:$A$35,E36)&lt;&gt;1,"笔记缺失或重复",IF(AND(K36="是",COUNTIF('证据索引'!$A$6:$A$105,F36)&lt;&gt;1),"证据缺失或重复",""))))</x:f>
      </x:c>
      <x:c r="Z36"/>
      <x:c r="AA36" s="16" t="str">
        <x:f>IF(A36="","",IF(AND(C36="研究",T36=1),D36,""))</x:f>
      </x:c>
    </x:row>
    <x:row r="37" ht="36" customHeight="1">
      <x:c r="A37" s="11"/>
      <x:c r="B37" s="11"/>
      <x:c r="C37" s="11"/>
      <x:c r="D37" s="11"/>
      <x:c r="E37" s="11"/>
      <x:c r="F37" s="11"/>
      <x:c r="G37" s="17"/>
      <x:c r="H37" s="11"/>
      <x:c r="I37" s="11"/>
      <x:c r="J37" s="11"/>
      <x:c r="K37" s="11"/>
      <x:c r="L37" s="11"/>
      <x:c r="M37" s="11"/>
      <x:c r="N37" s="11"/>
      <x:c r="O37" s="11"/>
      <x:c r="P37" s="11"/>
      <x:c r="Q37" s="16" t="str">
        <x:f>IF(A37="","",IF(C37="研究",1,0))</x:f>
      </x:c>
      <x:c r="R37" s="16" t="str">
        <x:f>IF(OR(A37="",C37&lt;&gt;"研究",D37="",J37&lt;&gt;"已判定"),"",IF(COUNTIFS($D$6:D37,D37,$C$6:C37,"研究",$J$6:J37,"已判定")=1,1,0))</x:f>
      </x:c>
      <x:c r="S37" s="16" t="str">
        <x:f>IF(OR(A37="",C37&lt;&gt;"研究",D37="",J37&lt;&gt;"已判定"),"",IF(COUNTIFS($D$6:D37,D37,$B$6:B37,B37,$C$6:C37,"研究",$J$6:J37,"已判定")=1,1,0))</x:f>
      </x:c>
      <x:c r="T37" s="16" t="str">
        <x:f>IF(A37="","",IF(AND(D37&lt;&gt;"",J37="已判定",K37="是",L37="是",COUNTIF('笔记筛选'!$A$6:$A$35,E37)=1,COUNTIF('批次记录'!$A$6:$A$17,B37)=1,COUNTIF('证据索引'!$A$6:$A$105,F37)=1),IF(AND(INDEX('笔记筛选'!$O$6:$O$35,MATCH(E37,'笔记筛选'!$A$6:$A$35,0))=1,INDEX('证据索引'!$H$6:$H$105,MATCH(F37,'证据索引'!$A$6:$A$105,0))="可定位",INDEX('证据索引'!$F$6:$F$105,MATCH(F37,'证据索引'!$A$6:$A$105,0))="是",INDEX('证据索引'!$B$6:$B$105,MATCH(F37,'证据索引'!$A$6:$A$105,0))=E37),1,0),0))</x:f>
      </x:c>
      <x:c r="U37" s="16" t="str">
        <x:f>IF(R37="","",IF(AND(R37=1,COUNTIF($AA$6:$AA$205,D37)&gt;0),1,0))</x:f>
      </x:c>
      <x:c r="V37" s="16" t="str">
        <x:f>IF(R37="","",IF(AND(R37=1,COUNTIFS('问题评论关联'!$C$6:$C$205,D37,'问题评论关联'!$G$6:$G$205,1)&gt;0),1,0))</x:f>
      </x:c>
      <x:c r="W37" s="16" t="str">
        <x:f>IF(S37="","",IF(AND(S37=1,COUNTIFS('问题评论关联'!$C$6:$C$205,D37,'问题评论关联'!$G$6:$G$205,1)&gt;0),1,0))</x:f>
      </x:c>
      <x:c r="X37" s="16" t="str">
        <x:f>IF(A37="","",IF(AND(C37="研究",OR(D37="",J37&lt;&gt;"已判定")),1,0))</x:f>
      </x:c>
      <x:c r="Y37" s="16" t="str">
        <x:f>IF(A37="","",IF(COUNTIF('批次记录'!$A$6:$A$17,B37)&lt;&gt;1,"批次缺失或重复",IF(COUNTIF('笔记筛选'!$A$6:$A$35,E37)&lt;&gt;1,"笔记缺失或重复",IF(AND(K37="是",COUNTIF('证据索引'!$A$6:$A$105,F37)&lt;&gt;1),"证据缺失或重复",""))))</x:f>
      </x:c>
      <x:c r="Z37"/>
      <x:c r="AA37" s="16" t="str">
        <x:f>IF(A37="","",IF(AND(C37="研究",T37=1),D37,""))</x:f>
      </x:c>
    </x:row>
    <x:row r="38" ht="36" customHeight="1">
      <x:c r="A38" s="11"/>
      <x:c r="B38" s="11"/>
      <x:c r="C38" s="11"/>
      <x:c r="D38" s="11"/>
      <x:c r="E38" s="11"/>
      <x:c r="F38" s="11"/>
      <x:c r="G38" s="17"/>
      <x:c r="H38" s="11"/>
      <x:c r="I38" s="11"/>
      <x:c r="J38" s="11"/>
      <x:c r="K38" s="11"/>
      <x:c r="L38" s="11"/>
      <x:c r="M38" s="11"/>
      <x:c r="N38" s="11"/>
      <x:c r="O38" s="11"/>
      <x:c r="P38" s="11"/>
      <x:c r="Q38" s="16" t="str">
        <x:f>IF(A38="","",IF(C38="研究",1,0))</x:f>
      </x:c>
      <x:c r="R38" s="16" t="str">
        <x:f>IF(OR(A38="",C38&lt;&gt;"研究",D38="",J38&lt;&gt;"已判定"),"",IF(COUNTIFS($D$6:D38,D38,$C$6:C38,"研究",$J$6:J38,"已判定")=1,1,0))</x:f>
      </x:c>
      <x:c r="S38" s="16" t="str">
        <x:f>IF(OR(A38="",C38&lt;&gt;"研究",D38="",J38&lt;&gt;"已判定"),"",IF(COUNTIFS($D$6:D38,D38,$B$6:B38,B38,$C$6:C38,"研究",$J$6:J38,"已判定")=1,1,0))</x:f>
      </x:c>
      <x:c r="T38" s="16" t="str">
        <x:f>IF(A38="","",IF(AND(D38&lt;&gt;"",J38="已判定",K38="是",L38="是",COUNTIF('笔记筛选'!$A$6:$A$35,E38)=1,COUNTIF('批次记录'!$A$6:$A$17,B38)=1,COUNTIF('证据索引'!$A$6:$A$105,F38)=1),IF(AND(INDEX('笔记筛选'!$O$6:$O$35,MATCH(E38,'笔记筛选'!$A$6:$A$35,0))=1,INDEX('证据索引'!$H$6:$H$105,MATCH(F38,'证据索引'!$A$6:$A$105,0))="可定位",INDEX('证据索引'!$F$6:$F$105,MATCH(F38,'证据索引'!$A$6:$A$105,0))="是",INDEX('证据索引'!$B$6:$B$105,MATCH(F38,'证据索引'!$A$6:$A$105,0))=E38),1,0),0))</x:f>
      </x:c>
      <x:c r="U38" s="16" t="str">
        <x:f>IF(R38="","",IF(AND(R38=1,COUNTIF($AA$6:$AA$205,D38)&gt;0),1,0))</x:f>
      </x:c>
      <x:c r="V38" s="16" t="str">
        <x:f>IF(R38="","",IF(AND(R38=1,COUNTIFS('问题评论关联'!$C$6:$C$205,D38,'问题评论关联'!$G$6:$G$205,1)&gt;0),1,0))</x:f>
      </x:c>
      <x:c r="W38" s="16" t="str">
        <x:f>IF(S38="","",IF(AND(S38=1,COUNTIFS('问题评论关联'!$C$6:$C$205,D38,'问题评论关联'!$G$6:$G$205,1)&gt;0),1,0))</x:f>
      </x:c>
      <x:c r="X38" s="16" t="str">
        <x:f>IF(A38="","",IF(AND(C38="研究",OR(D38="",J38&lt;&gt;"已判定")),1,0))</x:f>
      </x:c>
      <x:c r="Y38" s="16" t="str">
        <x:f>IF(A38="","",IF(COUNTIF('批次记录'!$A$6:$A$17,B38)&lt;&gt;1,"批次缺失或重复",IF(COUNTIF('笔记筛选'!$A$6:$A$35,E38)&lt;&gt;1,"笔记缺失或重复",IF(AND(K38="是",COUNTIF('证据索引'!$A$6:$A$105,F38)&lt;&gt;1),"证据缺失或重复",""))))</x:f>
      </x:c>
      <x:c r="Z38"/>
      <x:c r="AA38" s="16" t="str">
        <x:f>IF(A38="","",IF(AND(C38="研究",T38=1),D38,""))</x:f>
      </x:c>
    </x:row>
    <x:row r="39" ht="36" customHeight="1">
      <x:c r="A39" s="11"/>
      <x:c r="B39" s="11"/>
      <x:c r="C39" s="11"/>
      <x:c r="D39" s="11"/>
      <x:c r="E39" s="11"/>
      <x:c r="F39" s="11"/>
      <x:c r="G39" s="17"/>
      <x:c r="H39" s="11"/>
      <x:c r="I39" s="11"/>
      <x:c r="J39" s="11"/>
      <x:c r="K39" s="11"/>
      <x:c r="L39" s="11"/>
      <x:c r="M39" s="11"/>
      <x:c r="N39" s="11"/>
      <x:c r="O39" s="11"/>
      <x:c r="P39" s="11"/>
      <x:c r="Q39" s="16" t="str">
        <x:f>IF(A39="","",IF(C39="研究",1,0))</x:f>
      </x:c>
      <x:c r="R39" s="16" t="str">
        <x:f>IF(OR(A39="",C39&lt;&gt;"研究",D39="",J39&lt;&gt;"已判定"),"",IF(COUNTIFS($D$6:D39,D39,$C$6:C39,"研究",$J$6:J39,"已判定")=1,1,0))</x:f>
      </x:c>
      <x:c r="S39" s="16" t="str">
        <x:f>IF(OR(A39="",C39&lt;&gt;"研究",D39="",J39&lt;&gt;"已判定"),"",IF(COUNTIFS($D$6:D39,D39,$B$6:B39,B39,$C$6:C39,"研究",$J$6:J39,"已判定")=1,1,0))</x:f>
      </x:c>
      <x:c r="T39" s="16" t="str">
        <x:f>IF(A39="","",IF(AND(D39&lt;&gt;"",J39="已判定",K39="是",L39="是",COUNTIF('笔记筛选'!$A$6:$A$35,E39)=1,COUNTIF('批次记录'!$A$6:$A$17,B39)=1,COUNTIF('证据索引'!$A$6:$A$105,F39)=1),IF(AND(INDEX('笔记筛选'!$O$6:$O$35,MATCH(E39,'笔记筛选'!$A$6:$A$35,0))=1,INDEX('证据索引'!$H$6:$H$105,MATCH(F39,'证据索引'!$A$6:$A$105,0))="可定位",INDEX('证据索引'!$F$6:$F$105,MATCH(F39,'证据索引'!$A$6:$A$105,0))="是",INDEX('证据索引'!$B$6:$B$105,MATCH(F39,'证据索引'!$A$6:$A$105,0))=E39),1,0),0))</x:f>
      </x:c>
      <x:c r="U39" s="16" t="str">
        <x:f>IF(R39="","",IF(AND(R39=1,COUNTIF($AA$6:$AA$205,D39)&gt;0),1,0))</x:f>
      </x:c>
      <x:c r="V39" s="16" t="str">
        <x:f>IF(R39="","",IF(AND(R39=1,COUNTIFS('问题评论关联'!$C$6:$C$205,D39,'问题评论关联'!$G$6:$G$205,1)&gt;0),1,0))</x:f>
      </x:c>
      <x:c r="W39" s="16" t="str">
        <x:f>IF(S39="","",IF(AND(S39=1,COUNTIFS('问题评论关联'!$C$6:$C$205,D39,'问题评论关联'!$G$6:$G$205,1)&gt;0),1,0))</x:f>
      </x:c>
      <x:c r="X39" s="16" t="str">
        <x:f>IF(A39="","",IF(AND(C39="研究",OR(D39="",J39&lt;&gt;"已判定")),1,0))</x:f>
      </x:c>
      <x:c r="Y39" s="16" t="str">
        <x:f>IF(A39="","",IF(COUNTIF('批次记录'!$A$6:$A$17,B39)&lt;&gt;1,"批次缺失或重复",IF(COUNTIF('笔记筛选'!$A$6:$A$35,E39)&lt;&gt;1,"笔记缺失或重复",IF(AND(K39="是",COUNTIF('证据索引'!$A$6:$A$105,F39)&lt;&gt;1),"证据缺失或重复",""))))</x:f>
      </x:c>
      <x:c r="Z39"/>
      <x:c r="AA39" s="16" t="str">
        <x:f>IF(A39="","",IF(AND(C39="研究",T39=1),D39,""))</x:f>
      </x:c>
    </x:row>
    <x:row r="40" ht="36" customHeight="1">
      <x:c r="A40" s="11"/>
      <x:c r="B40" s="11"/>
      <x:c r="C40" s="11"/>
      <x:c r="D40" s="11"/>
      <x:c r="E40" s="11"/>
      <x:c r="F40" s="11"/>
      <x:c r="G40" s="17"/>
      <x:c r="H40" s="11"/>
      <x:c r="I40" s="11"/>
      <x:c r="J40" s="11"/>
      <x:c r="K40" s="11"/>
      <x:c r="L40" s="11"/>
      <x:c r="M40" s="11"/>
      <x:c r="N40" s="11"/>
      <x:c r="O40" s="11"/>
      <x:c r="P40" s="11"/>
      <x:c r="Q40" s="16" t="str">
        <x:f>IF(A40="","",IF(C40="研究",1,0))</x:f>
      </x:c>
      <x:c r="R40" s="16" t="str">
        <x:f>IF(OR(A40="",C40&lt;&gt;"研究",D40="",J40&lt;&gt;"已判定"),"",IF(COUNTIFS($D$6:D40,D40,$C$6:C40,"研究",$J$6:J40,"已判定")=1,1,0))</x:f>
      </x:c>
      <x:c r="S40" s="16" t="str">
        <x:f>IF(OR(A40="",C40&lt;&gt;"研究",D40="",J40&lt;&gt;"已判定"),"",IF(COUNTIFS($D$6:D40,D40,$B$6:B40,B40,$C$6:C40,"研究",$J$6:J40,"已判定")=1,1,0))</x:f>
      </x:c>
      <x:c r="T40" s="16" t="str">
        <x:f>IF(A40="","",IF(AND(D40&lt;&gt;"",J40="已判定",K40="是",L40="是",COUNTIF('笔记筛选'!$A$6:$A$35,E40)=1,COUNTIF('批次记录'!$A$6:$A$17,B40)=1,COUNTIF('证据索引'!$A$6:$A$105,F40)=1),IF(AND(INDEX('笔记筛选'!$O$6:$O$35,MATCH(E40,'笔记筛选'!$A$6:$A$35,0))=1,INDEX('证据索引'!$H$6:$H$105,MATCH(F40,'证据索引'!$A$6:$A$105,0))="可定位",INDEX('证据索引'!$F$6:$F$105,MATCH(F40,'证据索引'!$A$6:$A$105,0))="是",INDEX('证据索引'!$B$6:$B$105,MATCH(F40,'证据索引'!$A$6:$A$105,0))=E40),1,0),0))</x:f>
      </x:c>
      <x:c r="U40" s="16" t="str">
        <x:f>IF(R40="","",IF(AND(R40=1,COUNTIF($AA$6:$AA$205,D40)&gt;0),1,0))</x:f>
      </x:c>
      <x:c r="V40" s="16" t="str">
        <x:f>IF(R40="","",IF(AND(R40=1,COUNTIFS('问题评论关联'!$C$6:$C$205,D40,'问题评论关联'!$G$6:$G$205,1)&gt;0),1,0))</x:f>
      </x:c>
      <x:c r="W40" s="16" t="str">
        <x:f>IF(S40="","",IF(AND(S40=1,COUNTIFS('问题评论关联'!$C$6:$C$205,D40,'问题评论关联'!$G$6:$G$205,1)&gt;0),1,0))</x:f>
      </x:c>
      <x:c r="X40" s="16" t="str">
        <x:f>IF(A40="","",IF(AND(C40="研究",OR(D40="",J40&lt;&gt;"已判定")),1,0))</x:f>
      </x:c>
      <x:c r="Y40" s="16" t="str">
        <x:f>IF(A40="","",IF(COUNTIF('批次记录'!$A$6:$A$17,B40)&lt;&gt;1,"批次缺失或重复",IF(COUNTIF('笔记筛选'!$A$6:$A$35,E40)&lt;&gt;1,"笔记缺失或重复",IF(AND(K40="是",COUNTIF('证据索引'!$A$6:$A$105,F40)&lt;&gt;1),"证据缺失或重复",""))))</x:f>
      </x:c>
      <x:c r="Z40"/>
      <x:c r="AA40" s="16" t="str">
        <x:f>IF(A40="","",IF(AND(C40="研究",T40=1),D40,""))</x:f>
      </x:c>
    </x:row>
    <x:row r="41" ht="36" customHeight="1">
      <x:c r="A41" s="11"/>
      <x:c r="B41" s="11"/>
      <x:c r="C41" s="11"/>
      <x:c r="D41" s="11"/>
      <x:c r="E41" s="11"/>
      <x:c r="F41" s="11"/>
      <x:c r="G41" s="17"/>
      <x:c r="H41" s="11"/>
      <x:c r="I41" s="11"/>
      <x:c r="J41" s="11"/>
      <x:c r="K41" s="11"/>
      <x:c r="L41" s="11"/>
      <x:c r="M41" s="11"/>
      <x:c r="N41" s="11"/>
      <x:c r="O41" s="11"/>
      <x:c r="P41" s="11"/>
      <x:c r="Q41" s="16" t="str">
        <x:f>IF(A41="","",IF(C41="研究",1,0))</x:f>
      </x:c>
      <x:c r="R41" s="16" t="str">
        <x:f>IF(OR(A41="",C41&lt;&gt;"研究",D41="",J41&lt;&gt;"已判定"),"",IF(COUNTIFS($D$6:D41,D41,$C$6:C41,"研究",$J$6:J41,"已判定")=1,1,0))</x:f>
      </x:c>
      <x:c r="S41" s="16" t="str">
        <x:f>IF(OR(A41="",C41&lt;&gt;"研究",D41="",J41&lt;&gt;"已判定"),"",IF(COUNTIFS($D$6:D41,D41,$B$6:B41,B41,$C$6:C41,"研究",$J$6:J41,"已判定")=1,1,0))</x:f>
      </x:c>
      <x:c r="T41" s="16" t="str">
        <x:f>IF(A41="","",IF(AND(D41&lt;&gt;"",J41="已判定",K41="是",L41="是",COUNTIF('笔记筛选'!$A$6:$A$35,E41)=1,COUNTIF('批次记录'!$A$6:$A$17,B41)=1,COUNTIF('证据索引'!$A$6:$A$105,F41)=1),IF(AND(INDEX('笔记筛选'!$O$6:$O$35,MATCH(E41,'笔记筛选'!$A$6:$A$35,0))=1,INDEX('证据索引'!$H$6:$H$105,MATCH(F41,'证据索引'!$A$6:$A$105,0))="可定位",INDEX('证据索引'!$F$6:$F$105,MATCH(F41,'证据索引'!$A$6:$A$105,0))="是",INDEX('证据索引'!$B$6:$B$105,MATCH(F41,'证据索引'!$A$6:$A$105,0))=E41),1,0),0))</x:f>
      </x:c>
      <x:c r="U41" s="16" t="str">
        <x:f>IF(R41="","",IF(AND(R41=1,COUNTIF($AA$6:$AA$205,D41)&gt;0),1,0))</x:f>
      </x:c>
      <x:c r="V41" s="16" t="str">
        <x:f>IF(R41="","",IF(AND(R41=1,COUNTIFS('问题评论关联'!$C$6:$C$205,D41,'问题评论关联'!$G$6:$G$205,1)&gt;0),1,0))</x:f>
      </x:c>
      <x:c r="W41" s="16" t="str">
        <x:f>IF(S41="","",IF(AND(S41=1,COUNTIFS('问题评论关联'!$C$6:$C$205,D41,'问题评论关联'!$G$6:$G$205,1)&gt;0),1,0))</x:f>
      </x:c>
      <x:c r="X41" s="16" t="str">
        <x:f>IF(A41="","",IF(AND(C41="研究",OR(D41="",J41&lt;&gt;"已判定")),1,0))</x:f>
      </x:c>
      <x:c r="Y41" s="16" t="str">
        <x:f>IF(A41="","",IF(COUNTIF('批次记录'!$A$6:$A$17,B41)&lt;&gt;1,"批次缺失或重复",IF(COUNTIF('笔记筛选'!$A$6:$A$35,E41)&lt;&gt;1,"笔记缺失或重复",IF(AND(K41="是",COUNTIF('证据索引'!$A$6:$A$105,F41)&lt;&gt;1),"证据缺失或重复",""))))</x:f>
      </x:c>
      <x:c r="Z41"/>
      <x:c r="AA41" s="16" t="str">
        <x:f>IF(A41="","",IF(AND(C41="研究",T41=1),D41,""))</x:f>
      </x:c>
    </x:row>
    <x:row r="42" ht="36" customHeight="1">
      <x:c r="A42" s="11"/>
      <x:c r="B42" s="11"/>
      <x:c r="C42" s="11"/>
      <x:c r="D42" s="11"/>
      <x:c r="E42" s="11"/>
      <x:c r="F42" s="11"/>
      <x:c r="G42" s="17"/>
      <x:c r="H42" s="11"/>
      <x:c r="I42" s="11"/>
      <x:c r="J42" s="11"/>
      <x:c r="K42" s="11"/>
      <x:c r="L42" s="11"/>
      <x:c r="M42" s="11"/>
      <x:c r="N42" s="11"/>
      <x:c r="O42" s="11"/>
      <x:c r="P42" s="11"/>
      <x:c r="Q42" s="16" t="str">
        <x:f>IF(A42="","",IF(C42="研究",1,0))</x:f>
      </x:c>
      <x:c r="R42" s="16" t="str">
        <x:f>IF(OR(A42="",C42&lt;&gt;"研究",D42="",J42&lt;&gt;"已判定"),"",IF(COUNTIFS($D$6:D42,D42,$C$6:C42,"研究",$J$6:J42,"已判定")=1,1,0))</x:f>
      </x:c>
      <x:c r="S42" s="16" t="str">
        <x:f>IF(OR(A42="",C42&lt;&gt;"研究",D42="",J42&lt;&gt;"已判定"),"",IF(COUNTIFS($D$6:D42,D42,$B$6:B42,B42,$C$6:C42,"研究",$J$6:J42,"已判定")=1,1,0))</x:f>
      </x:c>
      <x:c r="T42" s="16" t="str">
        <x:f>IF(A42="","",IF(AND(D42&lt;&gt;"",J42="已判定",K42="是",L42="是",COUNTIF('笔记筛选'!$A$6:$A$35,E42)=1,COUNTIF('批次记录'!$A$6:$A$17,B42)=1,COUNTIF('证据索引'!$A$6:$A$105,F42)=1),IF(AND(INDEX('笔记筛选'!$O$6:$O$35,MATCH(E42,'笔记筛选'!$A$6:$A$35,0))=1,INDEX('证据索引'!$H$6:$H$105,MATCH(F42,'证据索引'!$A$6:$A$105,0))="可定位",INDEX('证据索引'!$F$6:$F$105,MATCH(F42,'证据索引'!$A$6:$A$105,0))="是",INDEX('证据索引'!$B$6:$B$105,MATCH(F42,'证据索引'!$A$6:$A$105,0))=E42),1,0),0))</x:f>
      </x:c>
      <x:c r="U42" s="16" t="str">
        <x:f>IF(R42="","",IF(AND(R42=1,COUNTIF($AA$6:$AA$205,D42)&gt;0),1,0))</x:f>
      </x:c>
      <x:c r="V42" s="16" t="str">
        <x:f>IF(R42="","",IF(AND(R42=1,COUNTIFS('问题评论关联'!$C$6:$C$205,D42,'问题评论关联'!$G$6:$G$205,1)&gt;0),1,0))</x:f>
      </x:c>
      <x:c r="W42" s="16" t="str">
        <x:f>IF(S42="","",IF(AND(S42=1,COUNTIFS('问题评论关联'!$C$6:$C$205,D42,'问题评论关联'!$G$6:$G$205,1)&gt;0),1,0))</x:f>
      </x:c>
      <x:c r="X42" s="16" t="str">
        <x:f>IF(A42="","",IF(AND(C42="研究",OR(D42="",J42&lt;&gt;"已判定")),1,0))</x:f>
      </x:c>
      <x:c r="Y42" s="16" t="str">
        <x:f>IF(A42="","",IF(COUNTIF('批次记录'!$A$6:$A$17,B42)&lt;&gt;1,"批次缺失或重复",IF(COUNTIF('笔记筛选'!$A$6:$A$35,E42)&lt;&gt;1,"笔记缺失或重复",IF(AND(K42="是",COUNTIF('证据索引'!$A$6:$A$105,F42)&lt;&gt;1),"证据缺失或重复",""))))</x:f>
      </x:c>
      <x:c r="Z42"/>
      <x:c r="AA42" s="16" t="str">
        <x:f>IF(A42="","",IF(AND(C42="研究",T42=1),D42,""))</x:f>
      </x:c>
    </x:row>
    <x:row r="43" ht="36" customHeight="1">
      <x:c r="A43" s="11"/>
      <x:c r="B43" s="11"/>
      <x:c r="C43" s="11"/>
      <x:c r="D43" s="11"/>
      <x:c r="E43" s="11"/>
      <x:c r="F43" s="11"/>
      <x:c r="G43" s="17"/>
      <x:c r="H43" s="11"/>
      <x:c r="I43" s="11"/>
      <x:c r="J43" s="11"/>
      <x:c r="K43" s="11"/>
      <x:c r="L43" s="11"/>
      <x:c r="M43" s="11"/>
      <x:c r="N43" s="11"/>
      <x:c r="O43" s="11"/>
      <x:c r="P43" s="11"/>
      <x:c r="Q43" s="16" t="str">
        <x:f>IF(A43="","",IF(C43="研究",1,0))</x:f>
      </x:c>
      <x:c r="R43" s="16" t="str">
        <x:f>IF(OR(A43="",C43&lt;&gt;"研究",D43="",J43&lt;&gt;"已判定"),"",IF(COUNTIFS($D$6:D43,D43,$C$6:C43,"研究",$J$6:J43,"已判定")=1,1,0))</x:f>
      </x:c>
      <x:c r="S43" s="16" t="str">
        <x:f>IF(OR(A43="",C43&lt;&gt;"研究",D43="",J43&lt;&gt;"已判定"),"",IF(COUNTIFS($D$6:D43,D43,$B$6:B43,B43,$C$6:C43,"研究",$J$6:J43,"已判定")=1,1,0))</x:f>
      </x:c>
      <x:c r="T43" s="16" t="str">
        <x:f>IF(A43="","",IF(AND(D43&lt;&gt;"",J43="已判定",K43="是",L43="是",COUNTIF('笔记筛选'!$A$6:$A$35,E43)=1,COUNTIF('批次记录'!$A$6:$A$17,B43)=1,COUNTIF('证据索引'!$A$6:$A$105,F43)=1),IF(AND(INDEX('笔记筛选'!$O$6:$O$35,MATCH(E43,'笔记筛选'!$A$6:$A$35,0))=1,INDEX('证据索引'!$H$6:$H$105,MATCH(F43,'证据索引'!$A$6:$A$105,0))="可定位",INDEX('证据索引'!$F$6:$F$105,MATCH(F43,'证据索引'!$A$6:$A$105,0))="是",INDEX('证据索引'!$B$6:$B$105,MATCH(F43,'证据索引'!$A$6:$A$105,0))=E43),1,0),0))</x:f>
      </x:c>
      <x:c r="U43" s="16" t="str">
        <x:f>IF(R43="","",IF(AND(R43=1,COUNTIF($AA$6:$AA$205,D43)&gt;0),1,0))</x:f>
      </x:c>
      <x:c r="V43" s="16" t="str">
        <x:f>IF(R43="","",IF(AND(R43=1,COUNTIFS('问题评论关联'!$C$6:$C$205,D43,'问题评论关联'!$G$6:$G$205,1)&gt;0),1,0))</x:f>
      </x:c>
      <x:c r="W43" s="16" t="str">
        <x:f>IF(S43="","",IF(AND(S43=1,COUNTIFS('问题评论关联'!$C$6:$C$205,D43,'问题评论关联'!$G$6:$G$205,1)&gt;0),1,0))</x:f>
      </x:c>
      <x:c r="X43" s="16" t="str">
        <x:f>IF(A43="","",IF(AND(C43="研究",OR(D43="",J43&lt;&gt;"已判定")),1,0))</x:f>
      </x:c>
      <x:c r="Y43" s="16" t="str">
        <x:f>IF(A43="","",IF(COUNTIF('批次记录'!$A$6:$A$17,B43)&lt;&gt;1,"批次缺失或重复",IF(COUNTIF('笔记筛选'!$A$6:$A$35,E43)&lt;&gt;1,"笔记缺失或重复",IF(AND(K43="是",COUNTIF('证据索引'!$A$6:$A$105,F43)&lt;&gt;1),"证据缺失或重复",""))))</x:f>
      </x:c>
      <x:c r="Z43"/>
      <x:c r="AA43" s="16" t="str">
        <x:f>IF(A43="","",IF(AND(C43="研究",T43=1),D43,""))</x:f>
      </x:c>
    </x:row>
    <x:row r="44" ht="36" customHeight="1">
      <x:c r="A44" s="11"/>
      <x:c r="B44" s="11"/>
      <x:c r="C44" s="11"/>
      <x:c r="D44" s="11"/>
      <x:c r="E44" s="11"/>
      <x:c r="F44" s="11"/>
      <x:c r="G44" s="17"/>
      <x:c r="H44" s="11"/>
      <x:c r="I44" s="11"/>
      <x:c r="J44" s="11"/>
      <x:c r="K44" s="11"/>
      <x:c r="L44" s="11"/>
      <x:c r="M44" s="11"/>
      <x:c r="N44" s="11"/>
      <x:c r="O44" s="11"/>
      <x:c r="P44" s="11"/>
      <x:c r="Q44" s="16" t="str">
        <x:f>IF(A44="","",IF(C44="研究",1,0))</x:f>
      </x:c>
      <x:c r="R44" s="16" t="str">
        <x:f>IF(OR(A44="",C44&lt;&gt;"研究",D44="",J44&lt;&gt;"已判定"),"",IF(COUNTIFS($D$6:D44,D44,$C$6:C44,"研究",$J$6:J44,"已判定")=1,1,0))</x:f>
      </x:c>
      <x:c r="S44" s="16" t="str">
        <x:f>IF(OR(A44="",C44&lt;&gt;"研究",D44="",J44&lt;&gt;"已判定"),"",IF(COUNTIFS($D$6:D44,D44,$B$6:B44,B44,$C$6:C44,"研究",$J$6:J44,"已判定")=1,1,0))</x:f>
      </x:c>
      <x:c r="T44" s="16" t="str">
        <x:f>IF(A44="","",IF(AND(D44&lt;&gt;"",J44="已判定",K44="是",L44="是",COUNTIF('笔记筛选'!$A$6:$A$35,E44)=1,COUNTIF('批次记录'!$A$6:$A$17,B44)=1,COUNTIF('证据索引'!$A$6:$A$105,F44)=1),IF(AND(INDEX('笔记筛选'!$O$6:$O$35,MATCH(E44,'笔记筛选'!$A$6:$A$35,0))=1,INDEX('证据索引'!$H$6:$H$105,MATCH(F44,'证据索引'!$A$6:$A$105,0))="可定位",INDEX('证据索引'!$F$6:$F$105,MATCH(F44,'证据索引'!$A$6:$A$105,0))="是",INDEX('证据索引'!$B$6:$B$105,MATCH(F44,'证据索引'!$A$6:$A$105,0))=E44),1,0),0))</x:f>
      </x:c>
      <x:c r="U44" s="16" t="str">
        <x:f>IF(R44="","",IF(AND(R44=1,COUNTIF($AA$6:$AA$205,D44)&gt;0),1,0))</x:f>
      </x:c>
      <x:c r="V44" s="16" t="str">
        <x:f>IF(R44="","",IF(AND(R44=1,COUNTIFS('问题评论关联'!$C$6:$C$205,D44,'问题评论关联'!$G$6:$G$205,1)&gt;0),1,0))</x:f>
      </x:c>
      <x:c r="W44" s="16" t="str">
        <x:f>IF(S44="","",IF(AND(S44=1,COUNTIFS('问题评论关联'!$C$6:$C$205,D44,'问题评论关联'!$G$6:$G$205,1)&gt;0),1,0))</x:f>
      </x:c>
      <x:c r="X44" s="16" t="str">
        <x:f>IF(A44="","",IF(AND(C44="研究",OR(D44="",J44&lt;&gt;"已判定")),1,0))</x:f>
      </x:c>
      <x:c r="Y44" s="16" t="str">
        <x:f>IF(A44="","",IF(COUNTIF('批次记录'!$A$6:$A$17,B44)&lt;&gt;1,"批次缺失或重复",IF(COUNTIF('笔记筛选'!$A$6:$A$35,E44)&lt;&gt;1,"笔记缺失或重复",IF(AND(K44="是",COUNTIF('证据索引'!$A$6:$A$105,F44)&lt;&gt;1),"证据缺失或重复",""))))</x:f>
      </x:c>
      <x:c r="Z44"/>
      <x:c r="AA44" s="16" t="str">
        <x:f>IF(A44="","",IF(AND(C44="研究",T44=1),D44,""))</x:f>
      </x:c>
    </x:row>
    <x:row r="45" ht="36" customHeight="1">
      <x:c r="A45" s="11"/>
      <x:c r="B45" s="11"/>
      <x:c r="C45" s="11"/>
      <x:c r="D45" s="11"/>
      <x:c r="E45" s="11"/>
      <x:c r="F45" s="11"/>
      <x:c r="G45" s="17"/>
      <x:c r="H45" s="11"/>
      <x:c r="I45" s="11"/>
      <x:c r="J45" s="11"/>
      <x:c r="K45" s="11"/>
      <x:c r="L45" s="11"/>
      <x:c r="M45" s="11"/>
      <x:c r="N45" s="11"/>
      <x:c r="O45" s="11"/>
      <x:c r="P45" s="11"/>
      <x:c r="Q45" s="16" t="str">
        <x:f>IF(A45="","",IF(C45="研究",1,0))</x:f>
      </x:c>
      <x:c r="R45" s="16" t="str">
        <x:f>IF(OR(A45="",C45&lt;&gt;"研究",D45="",J45&lt;&gt;"已判定"),"",IF(COUNTIFS($D$6:D45,D45,$C$6:C45,"研究",$J$6:J45,"已判定")=1,1,0))</x:f>
      </x:c>
      <x:c r="S45" s="16" t="str">
        <x:f>IF(OR(A45="",C45&lt;&gt;"研究",D45="",J45&lt;&gt;"已判定"),"",IF(COUNTIFS($D$6:D45,D45,$B$6:B45,B45,$C$6:C45,"研究",$J$6:J45,"已判定")=1,1,0))</x:f>
      </x:c>
      <x:c r="T45" s="16" t="str">
        <x:f>IF(A45="","",IF(AND(D45&lt;&gt;"",J45="已判定",K45="是",L45="是",COUNTIF('笔记筛选'!$A$6:$A$35,E45)=1,COUNTIF('批次记录'!$A$6:$A$17,B45)=1,COUNTIF('证据索引'!$A$6:$A$105,F45)=1),IF(AND(INDEX('笔记筛选'!$O$6:$O$35,MATCH(E45,'笔记筛选'!$A$6:$A$35,0))=1,INDEX('证据索引'!$H$6:$H$105,MATCH(F45,'证据索引'!$A$6:$A$105,0))="可定位",INDEX('证据索引'!$F$6:$F$105,MATCH(F45,'证据索引'!$A$6:$A$105,0))="是",INDEX('证据索引'!$B$6:$B$105,MATCH(F45,'证据索引'!$A$6:$A$105,0))=E45),1,0),0))</x:f>
      </x:c>
      <x:c r="U45" s="16" t="str">
        <x:f>IF(R45="","",IF(AND(R45=1,COUNTIF($AA$6:$AA$205,D45)&gt;0),1,0))</x:f>
      </x:c>
      <x:c r="V45" s="16" t="str">
        <x:f>IF(R45="","",IF(AND(R45=1,COUNTIFS('问题评论关联'!$C$6:$C$205,D45,'问题评论关联'!$G$6:$G$205,1)&gt;0),1,0))</x:f>
      </x:c>
      <x:c r="W45" s="16" t="str">
        <x:f>IF(S45="","",IF(AND(S45=1,COUNTIFS('问题评论关联'!$C$6:$C$205,D45,'问题评论关联'!$G$6:$G$205,1)&gt;0),1,0))</x:f>
      </x:c>
      <x:c r="X45" s="16" t="str">
        <x:f>IF(A45="","",IF(AND(C45="研究",OR(D45="",J45&lt;&gt;"已判定")),1,0))</x:f>
      </x:c>
      <x:c r="Y45" s="16" t="str">
        <x:f>IF(A45="","",IF(COUNTIF('批次记录'!$A$6:$A$17,B45)&lt;&gt;1,"批次缺失或重复",IF(COUNTIF('笔记筛选'!$A$6:$A$35,E45)&lt;&gt;1,"笔记缺失或重复",IF(AND(K45="是",COUNTIF('证据索引'!$A$6:$A$105,F45)&lt;&gt;1),"证据缺失或重复",""))))</x:f>
      </x:c>
      <x:c r="Z45"/>
      <x:c r="AA45" s="16" t="str">
        <x:f>IF(A45="","",IF(AND(C45="研究",T45=1),D45,""))</x:f>
      </x:c>
    </x:row>
    <x:row r="46" ht="36" customHeight="1">
      <x:c r="A46" s="11"/>
      <x:c r="B46" s="11"/>
      <x:c r="C46" s="11"/>
      <x:c r="D46" s="11"/>
      <x:c r="E46" s="11"/>
      <x:c r="F46" s="11"/>
      <x:c r="G46" s="17"/>
      <x:c r="H46" s="11"/>
      <x:c r="I46" s="11"/>
      <x:c r="J46" s="11"/>
      <x:c r="K46" s="11"/>
      <x:c r="L46" s="11"/>
      <x:c r="M46" s="11"/>
      <x:c r="N46" s="11"/>
      <x:c r="O46" s="11"/>
      <x:c r="P46" s="11"/>
      <x:c r="Q46" s="16" t="str">
        <x:f>IF(A46="","",IF(C46="研究",1,0))</x:f>
      </x:c>
      <x:c r="R46" s="16" t="str">
        <x:f>IF(OR(A46="",C46&lt;&gt;"研究",D46="",J46&lt;&gt;"已判定"),"",IF(COUNTIFS($D$6:D46,D46,$C$6:C46,"研究",$J$6:J46,"已判定")=1,1,0))</x:f>
      </x:c>
      <x:c r="S46" s="16" t="str">
        <x:f>IF(OR(A46="",C46&lt;&gt;"研究",D46="",J46&lt;&gt;"已判定"),"",IF(COUNTIFS($D$6:D46,D46,$B$6:B46,B46,$C$6:C46,"研究",$J$6:J46,"已判定")=1,1,0))</x:f>
      </x:c>
      <x:c r="T46" s="16" t="str">
        <x:f>IF(A46="","",IF(AND(D46&lt;&gt;"",J46="已判定",K46="是",L46="是",COUNTIF('笔记筛选'!$A$6:$A$35,E46)=1,COUNTIF('批次记录'!$A$6:$A$17,B46)=1,COUNTIF('证据索引'!$A$6:$A$105,F46)=1),IF(AND(INDEX('笔记筛选'!$O$6:$O$35,MATCH(E46,'笔记筛选'!$A$6:$A$35,0))=1,INDEX('证据索引'!$H$6:$H$105,MATCH(F46,'证据索引'!$A$6:$A$105,0))="可定位",INDEX('证据索引'!$F$6:$F$105,MATCH(F46,'证据索引'!$A$6:$A$105,0))="是",INDEX('证据索引'!$B$6:$B$105,MATCH(F46,'证据索引'!$A$6:$A$105,0))=E46),1,0),0))</x:f>
      </x:c>
      <x:c r="U46" s="16" t="str">
        <x:f>IF(R46="","",IF(AND(R46=1,COUNTIF($AA$6:$AA$205,D46)&gt;0),1,0))</x:f>
      </x:c>
      <x:c r="V46" s="16" t="str">
        <x:f>IF(R46="","",IF(AND(R46=1,COUNTIFS('问题评论关联'!$C$6:$C$205,D46,'问题评论关联'!$G$6:$G$205,1)&gt;0),1,0))</x:f>
      </x:c>
      <x:c r="W46" s="16" t="str">
        <x:f>IF(S46="","",IF(AND(S46=1,COUNTIFS('问题评论关联'!$C$6:$C$205,D46,'问题评论关联'!$G$6:$G$205,1)&gt;0),1,0))</x:f>
      </x:c>
      <x:c r="X46" s="16" t="str">
        <x:f>IF(A46="","",IF(AND(C46="研究",OR(D46="",J46&lt;&gt;"已判定")),1,0))</x:f>
      </x:c>
      <x:c r="Y46" s="16" t="str">
        <x:f>IF(A46="","",IF(COUNTIF('批次记录'!$A$6:$A$17,B46)&lt;&gt;1,"批次缺失或重复",IF(COUNTIF('笔记筛选'!$A$6:$A$35,E46)&lt;&gt;1,"笔记缺失或重复",IF(AND(K46="是",COUNTIF('证据索引'!$A$6:$A$105,F46)&lt;&gt;1),"证据缺失或重复",""))))</x:f>
      </x:c>
      <x:c r="Z46"/>
      <x:c r="AA46" s="16" t="str">
        <x:f>IF(A46="","",IF(AND(C46="研究",T46=1),D46,""))</x:f>
      </x:c>
    </x:row>
    <x:row r="47" ht="36" customHeight="1">
      <x:c r="A47" s="11"/>
      <x:c r="B47" s="11"/>
      <x:c r="C47" s="11"/>
      <x:c r="D47" s="11"/>
      <x:c r="E47" s="11"/>
      <x:c r="F47" s="11"/>
      <x:c r="G47" s="17"/>
      <x:c r="H47" s="11"/>
      <x:c r="I47" s="11"/>
      <x:c r="J47" s="11"/>
      <x:c r="K47" s="11"/>
      <x:c r="L47" s="11"/>
      <x:c r="M47" s="11"/>
      <x:c r="N47" s="11"/>
      <x:c r="O47" s="11"/>
      <x:c r="P47" s="11"/>
      <x:c r="Q47" s="16" t="str">
        <x:f>IF(A47="","",IF(C47="研究",1,0))</x:f>
      </x:c>
      <x:c r="R47" s="16" t="str">
        <x:f>IF(OR(A47="",C47&lt;&gt;"研究",D47="",J47&lt;&gt;"已判定"),"",IF(COUNTIFS($D$6:D47,D47,$C$6:C47,"研究",$J$6:J47,"已判定")=1,1,0))</x:f>
      </x:c>
      <x:c r="S47" s="16" t="str">
        <x:f>IF(OR(A47="",C47&lt;&gt;"研究",D47="",J47&lt;&gt;"已判定"),"",IF(COUNTIFS($D$6:D47,D47,$B$6:B47,B47,$C$6:C47,"研究",$J$6:J47,"已判定")=1,1,0))</x:f>
      </x:c>
      <x:c r="T47" s="16" t="str">
        <x:f>IF(A47="","",IF(AND(D47&lt;&gt;"",J47="已判定",K47="是",L47="是",COUNTIF('笔记筛选'!$A$6:$A$35,E47)=1,COUNTIF('批次记录'!$A$6:$A$17,B47)=1,COUNTIF('证据索引'!$A$6:$A$105,F47)=1),IF(AND(INDEX('笔记筛选'!$O$6:$O$35,MATCH(E47,'笔记筛选'!$A$6:$A$35,0))=1,INDEX('证据索引'!$H$6:$H$105,MATCH(F47,'证据索引'!$A$6:$A$105,0))="可定位",INDEX('证据索引'!$F$6:$F$105,MATCH(F47,'证据索引'!$A$6:$A$105,0))="是",INDEX('证据索引'!$B$6:$B$105,MATCH(F47,'证据索引'!$A$6:$A$105,0))=E47),1,0),0))</x:f>
      </x:c>
      <x:c r="U47" s="16" t="str">
        <x:f>IF(R47="","",IF(AND(R47=1,COUNTIF($AA$6:$AA$205,D47)&gt;0),1,0))</x:f>
      </x:c>
      <x:c r="V47" s="16" t="str">
        <x:f>IF(R47="","",IF(AND(R47=1,COUNTIFS('问题评论关联'!$C$6:$C$205,D47,'问题评论关联'!$G$6:$G$205,1)&gt;0),1,0))</x:f>
      </x:c>
      <x:c r="W47" s="16" t="str">
        <x:f>IF(S47="","",IF(AND(S47=1,COUNTIFS('问题评论关联'!$C$6:$C$205,D47,'问题评论关联'!$G$6:$G$205,1)&gt;0),1,0))</x:f>
      </x:c>
      <x:c r="X47" s="16" t="str">
        <x:f>IF(A47="","",IF(AND(C47="研究",OR(D47="",J47&lt;&gt;"已判定")),1,0))</x:f>
      </x:c>
      <x:c r="Y47" s="16" t="str">
        <x:f>IF(A47="","",IF(COUNTIF('批次记录'!$A$6:$A$17,B47)&lt;&gt;1,"批次缺失或重复",IF(COUNTIF('笔记筛选'!$A$6:$A$35,E47)&lt;&gt;1,"笔记缺失或重复",IF(AND(K47="是",COUNTIF('证据索引'!$A$6:$A$105,F47)&lt;&gt;1),"证据缺失或重复",""))))</x:f>
      </x:c>
      <x:c r="Z47"/>
      <x:c r="AA47" s="16" t="str">
        <x:f>IF(A47="","",IF(AND(C47="研究",T47=1),D47,""))</x:f>
      </x:c>
    </x:row>
    <x:row r="48" ht="36" customHeight="1">
      <x:c r="A48" s="11"/>
      <x:c r="B48" s="11"/>
      <x:c r="C48" s="11"/>
      <x:c r="D48" s="11"/>
      <x:c r="E48" s="11"/>
      <x:c r="F48" s="11"/>
      <x:c r="G48" s="17"/>
      <x:c r="H48" s="11"/>
      <x:c r="I48" s="11"/>
      <x:c r="J48" s="11"/>
      <x:c r="K48" s="11"/>
      <x:c r="L48" s="11"/>
      <x:c r="M48" s="11"/>
      <x:c r="N48" s="11"/>
      <x:c r="O48" s="11"/>
      <x:c r="P48" s="11"/>
      <x:c r="Q48" s="16" t="str">
        <x:f>IF(A48="","",IF(C48="研究",1,0))</x:f>
      </x:c>
      <x:c r="R48" s="16" t="str">
        <x:f>IF(OR(A48="",C48&lt;&gt;"研究",D48="",J48&lt;&gt;"已判定"),"",IF(COUNTIFS($D$6:D48,D48,$C$6:C48,"研究",$J$6:J48,"已判定")=1,1,0))</x:f>
      </x:c>
      <x:c r="S48" s="16" t="str">
        <x:f>IF(OR(A48="",C48&lt;&gt;"研究",D48="",J48&lt;&gt;"已判定"),"",IF(COUNTIFS($D$6:D48,D48,$B$6:B48,B48,$C$6:C48,"研究",$J$6:J48,"已判定")=1,1,0))</x:f>
      </x:c>
      <x:c r="T48" s="16" t="str">
        <x:f>IF(A48="","",IF(AND(D48&lt;&gt;"",J48="已判定",K48="是",L48="是",COUNTIF('笔记筛选'!$A$6:$A$35,E48)=1,COUNTIF('批次记录'!$A$6:$A$17,B48)=1,COUNTIF('证据索引'!$A$6:$A$105,F48)=1),IF(AND(INDEX('笔记筛选'!$O$6:$O$35,MATCH(E48,'笔记筛选'!$A$6:$A$35,0))=1,INDEX('证据索引'!$H$6:$H$105,MATCH(F48,'证据索引'!$A$6:$A$105,0))="可定位",INDEX('证据索引'!$F$6:$F$105,MATCH(F48,'证据索引'!$A$6:$A$105,0))="是",INDEX('证据索引'!$B$6:$B$105,MATCH(F48,'证据索引'!$A$6:$A$105,0))=E48),1,0),0))</x:f>
      </x:c>
      <x:c r="U48" s="16" t="str">
        <x:f>IF(R48="","",IF(AND(R48=1,COUNTIF($AA$6:$AA$205,D48)&gt;0),1,0))</x:f>
      </x:c>
      <x:c r="V48" s="16" t="str">
        <x:f>IF(R48="","",IF(AND(R48=1,COUNTIFS('问题评论关联'!$C$6:$C$205,D48,'问题评论关联'!$G$6:$G$205,1)&gt;0),1,0))</x:f>
      </x:c>
      <x:c r="W48" s="16" t="str">
        <x:f>IF(S48="","",IF(AND(S48=1,COUNTIFS('问题评论关联'!$C$6:$C$205,D48,'问题评论关联'!$G$6:$G$205,1)&gt;0),1,0))</x:f>
      </x:c>
      <x:c r="X48" s="16" t="str">
        <x:f>IF(A48="","",IF(AND(C48="研究",OR(D48="",J48&lt;&gt;"已判定")),1,0))</x:f>
      </x:c>
      <x:c r="Y48" s="16" t="str">
        <x:f>IF(A48="","",IF(COUNTIF('批次记录'!$A$6:$A$17,B48)&lt;&gt;1,"批次缺失或重复",IF(COUNTIF('笔记筛选'!$A$6:$A$35,E48)&lt;&gt;1,"笔记缺失或重复",IF(AND(K48="是",COUNTIF('证据索引'!$A$6:$A$105,F48)&lt;&gt;1),"证据缺失或重复",""))))</x:f>
      </x:c>
      <x:c r="Z48"/>
      <x:c r="AA48" s="16" t="str">
        <x:f>IF(A48="","",IF(AND(C48="研究",T48=1),D48,""))</x:f>
      </x:c>
    </x:row>
    <x:row r="49" ht="36" customHeight="1">
      <x:c r="A49" s="11"/>
      <x:c r="B49" s="11"/>
      <x:c r="C49" s="11"/>
      <x:c r="D49" s="11"/>
      <x:c r="E49" s="11"/>
      <x:c r="F49" s="11"/>
      <x:c r="G49" s="17"/>
      <x:c r="H49" s="11"/>
      <x:c r="I49" s="11"/>
      <x:c r="J49" s="11"/>
      <x:c r="K49" s="11"/>
      <x:c r="L49" s="11"/>
      <x:c r="M49" s="11"/>
      <x:c r="N49" s="11"/>
      <x:c r="O49" s="11"/>
      <x:c r="P49" s="11"/>
      <x:c r="Q49" s="16" t="str">
        <x:f>IF(A49="","",IF(C49="研究",1,0))</x:f>
      </x:c>
      <x:c r="R49" s="16" t="str">
        <x:f>IF(OR(A49="",C49&lt;&gt;"研究",D49="",J49&lt;&gt;"已判定"),"",IF(COUNTIFS($D$6:D49,D49,$C$6:C49,"研究",$J$6:J49,"已判定")=1,1,0))</x:f>
      </x:c>
      <x:c r="S49" s="16" t="str">
        <x:f>IF(OR(A49="",C49&lt;&gt;"研究",D49="",J49&lt;&gt;"已判定"),"",IF(COUNTIFS($D$6:D49,D49,$B$6:B49,B49,$C$6:C49,"研究",$J$6:J49,"已判定")=1,1,0))</x:f>
      </x:c>
      <x:c r="T49" s="16" t="str">
        <x:f>IF(A49="","",IF(AND(D49&lt;&gt;"",J49="已判定",K49="是",L49="是",COUNTIF('笔记筛选'!$A$6:$A$35,E49)=1,COUNTIF('批次记录'!$A$6:$A$17,B49)=1,COUNTIF('证据索引'!$A$6:$A$105,F49)=1),IF(AND(INDEX('笔记筛选'!$O$6:$O$35,MATCH(E49,'笔记筛选'!$A$6:$A$35,0))=1,INDEX('证据索引'!$H$6:$H$105,MATCH(F49,'证据索引'!$A$6:$A$105,0))="可定位",INDEX('证据索引'!$F$6:$F$105,MATCH(F49,'证据索引'!$A$6:$A$105,0))="是",INDEX('证据索引'!$B$6:$B$105,MATCH(F49,'证据索引'!$A$6:$A$105,0))=E49),1,0),0))</x:f>
      </x:c>
      <x:c r="U49" s="16" t="str">
        <x:f>IF(R49="","",IF(AND(R49=1,COUNTIF($AA$6:$AA$205,D49)&gt;0),1,0))</x:f>
      </x:c>
      <x:c r="V49" s="16" t="str">
        <x:f>IF(R49="","",IF(AND(R49=1,COUNTIFS('问题评论关联'!$C$6:$C$205,D49,'问题评论关联'!$G$6:$G$205,1)&gt;0),1,0))</x:f>
      </x:c>
      <x:c r="W49" s="16" t="str">
        <x:f>IF(S49="","",IF(AND(S49=1,COUNTIFS('问题评论关联'!$C$6:$C$205,D49,'问题评论关联'!$G$6:$G$205,1)&gt;0),1,0))</x:f>
      </x:c>
      <x:c r="X49" s="16" t="str">
        <x:f>IF(A49="","",IF(AND(C49="研究",OR(D49="",J49&lt;&gt;"已判定")),1,0))</x:f>
      </x:c>
      <x:c r="Y49" s="16" t="str">
        <x:f>IF(A49="","",IF(COUNTIF('批次记录'!$A$6:$A$17,B49)&lt;&gt;1,"批次缺失或重复",IF(COUNTIF('笔记筛选'!$A$6:$A$35,E49)&lt;&gt;1,"笔记缺失或重复",IF(AND(K49="是",COUNTIF('证据索引'!$A$6:$A$105,F49)&lt;&gt;1),"证据缺失或重复",""))))</x:f>
      </x:c>
      <x:c r="Z49"/>
      <x:c r="AA49" s="16" t="str">
        <x:f>IF(A49="","",IF(AND(C49="研究",T49=1),D49,""))</x:f>
      </x:c>
    </x:row>
    <x:row r="50" ht="36" customHeight="1">
      <x:c r="A50" s="11"/>
      <x:c r="B50" s="11"/>
      <x:c r="C50" s="11"/>
      <x:c r="D50" s="11"/>
      <x:c r="E50" s="11"/>
      <x:c r="F50" s="11"/>
      <x:c r="G50" s="17"/>
      <x:c r="H50" s="11"/>
      <x:c r="I50" s="11"/>
      <x:c r="J50" s="11"/>
      <x:c r="K50" s="11"/>
      <x:c r="L50" s="11"/>
      <x:c r="M50" s="11"/>
      <x:c r="N50" s="11"/>
      <x:c r="O50" s="11"/>
      <x:c r="P50" s="11"/>
      <x:c r="Q50" s="16" t="str">
        <x:f>IF(A50="","",IF(C50="研究",1,0))</x:f>
      </x:c>
      <x:c r="R50" s="16" t="str">
        <x:f>IF(OR(A50="",C50&lt;&gt;"研究",D50="",J50&lt;&gt;"已判定"),"",IF(COUNTIFS($D$6:D50,D50,$C$6:C50,"研究",$J$6:J50,"已判定")=1,1,0))</x:f>
      </x:c>
      <x:c r="S50" s="16" t="str">
        <x:f>IF(OR(A50="",C50&lt;&gt;"研究",D50="",J50&lt;&gt;"已判定"),"",IF(COUNTIFS($D$6:D50,D50,$B$6:B50,B50,$C$6:C50,"研究",$J$6:J50,"已判定")=1,1,0))</x:f>
      </x:c>
      <x:c r="T50" s="16" t="str">
        <x:f>IF(A50="","",IF(AND(D50&lt;&gt;"",J50="已判定",K50="是",L50="是",COUNTIF('笔记筛选'!$A$6:$A$35,E50)=1,COUNTIF('批次记录'!$A$6:$A$17,B50)=1,COUNTIF('证据索引'!$A$6:$A$105,F50)=1),IF(AND(INDEX('笔记筛选'!$O$6:$O$35,MATCH(E50,'笔记筛选'!$A$6:$A$35,0))=1,INDEX('证据索引'!$H$6:$H$105,MATCH(F50,'证据索引'!$A$6:$A$105,0))="可定位",INDEX('证据索引'!$F$6:$F$105,MATCH(F50,'证据索引'!$A$6:$A$105,0))="是",INDEX('证据索引'!$B$6:$B$105,MATCH(F50,'证据索引'!$A$6:$A$105,0))=E50),1,0),0))</x:f>
      </x:c>
      <x:c r="U50" s="16" t="str">
        <x:f>IF(R50="","",IF(AND(R50=1,COUNTIF($AA$6:$AA$205,D50)&gt;0),1,0))</x:f>
      </x:c>
      <x:c r="V50" s="16" t="str">
        <x:f>IF(R50="","",IF(AND(R50=1,COUNTIFS('问题评论关联'!$C$6:$C$205,D50,'问题评论关联'!$G$6:$G$205,1)&gt;0),1,0))</x:f>
      </x:c>
      <x:c r="W50" s="16" t="str">
        <x:f>IF(S50="","",IF(AND(S50=1,COUNTIFS('问题评论关联'!$C$6:$C$205,D50,'问题评论关联'!$G$6:$G$205,1)&gt;0),1,0))</x:f>
      </x:c>
      <x:c r="X50" s="16" t="str">
        <x:f>IF(A50="","",IF(AND(C50="研究",OR(D50="",J50&lt;&gt;"已判定")),1,0))</x:f>
      </x:c>
      <x:c r="Y50" s="16" t="str">
        <x:f>IF(A50="","",IF(COUNTIF('批次记录'!$A$6:$A$17,B50)&lt;&gt;1,"批次缺失或重复",IF(COUNTIF('笔记筛选'!$A$6:$A$35,E50)&lt;&gt;1,"笔记缺失或重复",IF(AND(K50="是",COUNTIF('证据索引'!$A$6:$A$105,F50)&lt;&gt;1),"证据缺失或重复",""))))</x:f>
      </x:c>
      <x:c r="Z50"/>
      <x:c r="AA50" s="16" t="str">
        <x:f>IF(A50="","",IF(AND(C50="研究",T50=1),D50,""))</x:f>
      </x:c>
    </x:row>
    <x:row r="51" ht="36" customHeight="1">
      <x:c r="A51" s="11"/>
      <x:c r="B51" s="11"/>
      <x:c r="C51" s="11"/>
      <x:c r="D51" s="11"/>
      <x:c r="E51" s="11"/>
      <x:c r="F51" s="11"/>
      <x:c r="G51" s="17"/>
      <x:c r="H51" s="11"/>
      <x:c r="I51" s="11"/>
      <x:c r="J51" s="11"/>
      <x:c r="K51" s="11"/>
      <x:c r="L51" s="11"/>
      <x:c r="M51" s="11"/>
      <x:c r="N51" s="11"/>
      <x:c r="O51" s="11"/>
      <x:c r="P51" s="11"/>
      <x:c r="Q51" s="16" t="str">
        <x:f>IF(A51="","",IF(C51="研究",1,0))</x:f>
      </x:c>
      <x:c r="R51" s="16" t="str">
        <x:f>IF(OR(A51="",C51&lt;&gt;"研究",D51="",J51&lt;&gt;"已判定"),"",IF(COUNTIFS($D$6:D51,D51,$C$6:C51,"研究",$J$6:J51,"已判定")=1,1,0))</x:f>
      </x:c>
      <x:c r="S51" s="16" t="str">
        <x:f>IF(OR(A51="",C51&lt;&gt;"研究",D51="",J51&lt;&gt;"已判定"),"",IF(COUNTIFS($D$6:D51,D51,$B$6:B51,B51,$C$6:C51,"研究",$J$6:J51,"已判定")=1,1,0))</x:f>
      </x:c>
      <x:c r="T51" s="16" t="str">
        <x:f>IF(A51="","",IF(AND(D51&lt;&gt;"",J51="已判定",K51="是",L51="是",COUNTIF('笔记筛选'!$A$6:$A$35,E51)=1,COUNTIF('批次记录'!$A$6:$A$17,B51)=1,COUNTIF('证据索引'!$A$6:$A$105,F51)=1),IF(AND(INDEX('笔记筛选'!$O$6:$O$35,MATCH(E51,'笔记筛选'!$A$6:$A$35,0))=1,INDEX('证据索引'!$H$6:$H$105,MATCH(F51,'证据索引'!$A$6:$A$105,0))="可定位",INDEX('证据索引'!$F$6:$F$105,MATCH(F51,'证据索引'!$A$6:$A$105,0))="是",INDEX('证据索引'!$B$6:$B$105,MATCH(F51,'证据索引'!$A$6:$A$105,0))=E51),1,0),0))</x:f>
      </x:c>
      <x:c r="U51" s="16" t="str">
        <x:f>IF(R51="","",IF(AND(R51=1,COUNTIF($AA$6:$AA$205,D51)&gt;0),1,0))</x:f>
      </x:c>
      <x:c r="V51" s="16" t="str">
        <x:f>IF(R51="","",IF(AND(R51=1,COUNTIFS('问题评论关联'!$C$6:$C$205,D51,'问题评论关联'!$G$6:$G$205,1)&gt;0),1,0))</x:f>
      </x:c>
      <x:c r="W51" s="16" t="str">
        <x:f>IF(S51="","",IF(AND(S51=1,COUNTIFS('问题评论关联'!$C$6:$C$205,D51,'问题评论关联'!$G$6:$G$205,1)&gt;0),1,0))</x:f>
      </x:c>
      <x:c r="X51" s="16" t="str">
        <x:f>IF(A51="","",IF(AND(C51="研究",OR(D51="",J51&lt;&gt;"已判定")),1,0))</x:f>
      </x:c>
      <x:c r="Y51" s="16" t="str">
        <x:f>IF(A51="","",IF(COUNTIF('批次记录'!$A$6:$A$17,B51)&lt;&gt;1,"批次缺失或重复",IF(COUNTIF('笔记筛选'!$A$6:$A$35,E51)&lt;&gt;1,"笔记缺失或重复",IF(AND(K51="是",COUNTIF('证据索引'!$A$6:$A$105,F51)&lt;&gt;1),"证据缺失或重复",""))))</x:f>
      </x:c>
      <x:c r="Z51"/>
      <x:c r="AA51" s="16" t="str">
        <x:f>IF(A51="","",IF(AND(C51="研究",T51=1),D51,""))</x:f>
      </x:c>
    </x:row>
    <x:row r="52" ht="36" customHeight="1">
      <x:c r="A52" s="11"/>
      <x:c r="B52" s="11"/>
      <x:c r="C52" s="11"/>
      <x:c r="D52" s="11"/>
      <x:c r="E52" s="11"/>
      <x:c r="F52" s="11"/>
      <x:c r="G52" s="17"/>
      <x:c r="H52" s="11"/>
      <x:c r="I52" s="11"/>
      <x:c r="J52" s="11"/>
      <x:c r="K52" s="11"/>
      <x:c r="L52" s="11"/>
      <x:c r="M52" s="11"/>
      <x:c r="N52" s="11"/>
      <x:c r="O52" s="11"/>
      <x:c r="P52" s="11"/>
      <x:c r="Q52" s="16" t="str">
        <x:f>IF(A52="","",IF(C52="研究",1,0))</x:f>
      </x:c>
      <x:c r="R52" s="16" t="str">
        <x:f>IF(OR(A52="",C52&lt;&gt;"研究",D52="",J52&lt;&gt;"已判定"),"",IF(COUNTIFS($D$6:D52,D52,$C$6:C52,"研究",$J$6:J52,"已判定")=1,1,0))</x:f>
      </x:c>
      <x:c r="S52" s="16" t="str">
        <x:f>IF(OR(A52="",C52&lt;&gt;"研究",D52="",J52&lt;&gt;"已判定"),"",IF(COUNTIFS($D$6:D52,D52,$B$6:B52,B52,$C$6:C52,"研究",$J$6:J52,"已判定")=1,1,0))</x:f>
      </x:c>
      <x:c r="T52" s="16" t="str">
        <x:f>IF(A52="","",IF(AND(D52&lt;&gt;"",J52="已判定",K52="是",L52="是",COUNTIF('笔记筛选'!$A$6:$A$35,E52)=1,COUNTIF('批次记录'!$A$6:$A$17,B52)=1,COUNTIF('证据索引'!$A$6:$A$105,F52)=1),IF(AND(INDEX('笔记筛选'!$O$6:$O$35,MATCH(E52,'笔记筛选'!$A$6:$A$35,0))=1,INDEX('证据索引'!$H$6:$H$105,MATCH(F52,'证据索引'!$A$6:$A$105,0))="可定位",INDEX('证据索引'!$F$6:$F$105,MATCH(F52,'证据索引'!$A$6:$A$105,0))="是",INDEX('证据索引'!$B$6:$B$105,MATCH(F52,'证据索引'!$A$6:$A$105,0))=E52),1,0),0))</x:f>
      </x:c>
      <x:c r="U52" s="16" t="str">
        <x:f>IF(R52="","",IF(AND(R52=1,COUNTIF($AA$6:$AA$205,D52)&gt;0),1,0))</x:f>
      </x:c>
      <x:c r="V52" s="16" t="str">
        <x:f>IF(R52="","",IF(AND(R52=1,COUNTIFS('问题评论关联'!$C$6:$C$205,D52,'问题评论关联'!$G$6:$G$205,1)&gt;0),1,0))</x:f>
      </x:c>
      <x:c r="W52" s="16" t="str">
        <x:f>IF(S52="","",IF(AND(S52=1,COUNTIFS('问题评论关联'!$C$6:$C$205,D52,'问题评论关联'!$G$6:$G$205,1)&gt;0),1,0))</x:f>
      </x:c>
      <x:c r="X52" s="16" t="str">
        <x:f>IF(A52="","",IF(AND(C52="研究",OR(D52="",J52&lt;&gt;"已判定")),1,0))</x:f>
      </x:c>
      <x:c r="Y52" s="16" t="str">
        <x:f>IF(A52="","",IF(COUNTIF('批次记录'!$A$6:$A$17,B52)&lt;&gt;1,"批次缺失或重复",IF(COUNTIF('笔记筛选'!$A$6:$A$35,E52)&lt;&gt;1,"笔记缺失或重复",IF(AND(K52="是",COUNTIF('证据索引'!$A$6:$A$105,F52)&lt;&gt;1),"证据缺失或重复",""))))</x:f>
      </x:c>
      <x:c r="Z52"/>
      <x:c r="AA52" s="16" t="str">
        <x:f>IF(A52="","",IF(AND(C52="研究",T52=1),D52,""))</x:f>
      </x:c>
    </x:row>
    <x:row r="53" ht="36" customHeight="1">
      <x:c r="A53" s="11"/>
      <x:c r="B53" s="11"/>
      <x:c r="C53" s="11"/>
      <x:c r="D53" s="11"/>
      <x:c r="E53" s="11"/>
      <x:c r="F53" s="11"/>
      <x:c r="G53" s="17"/>
      <x:c r="H53" s="11"/>
      <x:c r="I53" s="11"/>
      <x:c r="J53" s="11"/>
      <x:c r="K53" s="11"/>
      <x:c r="L53" s="11"/>
      <x:c r="M53" s="11"/>
      <x:c r="N53" s="11"/>
      <x:c r="O53" s="11"/>
      <x:c r="P53" s="11"/>
      <x:c r="Q53" s="16" t="str">
        <x:f>IF(A53="","",IF(C53="研究",1,0))</x:f>
      </x:c>
      <x:c r="R53" s="16" t="str">
        <x:f>IF(OR(A53="",C53&lt;&gt;"研究",D53="",J53&lt;&gt;"已判定"),"",IF(COUNTIFS($D$6:D53,D53,$C$6:C53,"研究",$J$6:J53,"已判定")=1,1,0))</x:f>
      </x:c>
      <x:c r="S53" s="16" t="str">
        <x:f>IF(OR(A53="",C53&lt;&gt;"研究",D53="",J53&lt;&gt;"已判定"),"",IF(COUNTIFS($D$6:D53,D53,$B$6:B53,B53,$C$6:C53,"研究",$J$6:J53,"已判定")=1,1,0))</x:f>
      </x:c>
      <x:c r="T53" s="16" t="str">
        <x:f>IF(A53="","",IF(AND(D53&lt;&gt;"",J53="已判定",K53="是",L53="是",COUNTIF('笔记筛选'!$A$6:$A$35,E53)=1,COUNTIF('批次记录'!$A$6:$A$17,B53)=1,COUNTIF('证据索引'!$A$6:$A$105,F53)=1),IF(AND(INDEX('笔记筛选'!$O$6:$O$35,MATCH(E53,'笔记筛选'!$A$6:$A$35,0))=1,INDEX('证据索引'!$H$6:$H$105,MATCH(F53,'证据索引'!$A$6:$A$105,0))="可定位",INDEX('证据索引'!$F$6:$F$105,MATCH(F53,'证据索引'!$A$6:$A$105,0))="是",INDEX('证据索引'!$B$6:$B$105,MATCH(F53,'证据索引'!$A$6:$A$105,0))=E53),1,0),0))</x:f>
      </x:c>
      <x:c r="U53" s="16" t="str">
        <x:f>IF(R53="","",IF(AND(R53=1,COUNTIF($AA$6:$AA$205,D53)&gt;0),1,0))</x:f>
      </x:c>
      <x:c r="V53" s="16" t="str">
        <x:f>IF(R53="","",IF(AND(R53=1,COUNTIFS('问题评论关联'!$C$6:$C$205,D53,'问题评论关联'!$G$6:$G$205,1)&gt;0),1,0))</x:f>
      </x:c>
      <x:c r="W53" s="16" t="str">
        <x:f>IF(S53="","",IF(AND(S53=1,COUNTIFS('问题评论关联'!$C$6:$C$205,D53,'问题评论关联'!$G$6:$G$205,1)&gt;0),1,0))</x:f>
      </x:c>
      <x:c r="X53" s="16" t="str">
        <x:f>IF(A53="","",IF(AND(C53="研究",OR(D53="",J53&lt;&gt;"已判定")),1,0))</x:f>
      </x:c>
      <x:c r="Y53" s="16" t="str">
        <x:f>IF(A53="","",IF(COUNTIF('批次记录'!$A$6:$A$17,B53)&lt;&gt;1,"批次缺失或重复",IF(COUNTIF('笔记筛选'!$A$6:$A$35,E53)&lt;&gt;1,"笔记缺失或重复",IF(AND(K53="是",COUNTIF('证据索引'!$A$6:$A$105,F53)&lt;&gt;1),"证据缺失或重复",""))))</x:f>
      </x:c>
      <x:c r="Z53"/>
      <x:c r="AA53" s="16" t="str">
        <x:f>IF(A53="","",IF(AND(C53="研究",T53=1),D53,""))</x:f>
      </x:c>
    </x:row>
    <x:row r="54" ht="36" customHeight="1">
      <x:c r="A54" s="11"/>
      <x:c r="B54" s="11"/>
      <x:c r="C54" s="11"/>
      <x:c r="D54" s="11"/>
      <x:c r="E54" s="11"/>
      <x:c r="F54" s="11"/>
      <x:c r="G54" s="17"/>
      <x:c r="H54" s="11"/>
      <x:c r="I54" s="11"/>
      <x:c r="J54" s="11"/>
      <x:c r="K54" s="11"/>
      <x:c r="L54" s="11"/>
      <x:c r="M54" s="11"/>
      <x:c r="N54" s="11"/>
      <x:c r="O54" s="11"/>
      <x:c r="P54" s="11"/>
      <x:c r="Q54" s="16" t="str">
        <x:f>IF(A54="","",IF(C54="研究",1,0))</x:f>
      </x:c>
      <x:c r="R54" s="16" t="str">
        <x:f>IF(OR(A54="",C54&lt;&gt;"研究",D54="",J54&lt;&gt;"已判定"),"",IF(COUNTIFS($D$6:D54,D54,$C$6:C54,"研究",$J$6:J54,"已判定")=1,1,0))</x:f>
      </x:c>
      <x:c r="S54" s="16" t="str">
        <x:f>IF(OR(A54="",C54&lt;&gt;"研究",D54="",J54&lt;&gt;"已判定"),"",IF(COUNTIFS($D$6:D54,D54,$B$6:B54,B54,$C$6:C54,"研究",$J$6:J54,"已判定")=1,1,0))</x:f>
      </x:c>
      <x:c r="T54" s="16" t="str">
        <x:f>IF(A54="","",IF(AND(D54&lt;&gt;"",J54="已判定",K54="是",L54="是",COUNTIF('笔记筛选'!$A$6:$A$35,E54)=1,COUNTIF('批次记录'!$A$6:$A$17,B54)=1,COUNTIF('证据索引'!$A$6:$A$105,F54)=1),IF(AND(INDEX('笔记筛选'!$O$6:$O$35,MATCH(E54,'笔记筛选'!$A$6:$A$35,0))=1,INDEX('证据索引'!$H$6:$H$105,MATCH(F54,'证据索引'!$A$6:$A$105,0))="可定位",INDEX('证据索引'!$F$6:$F$105,MATCH(F54,'证据索引'!$A$6:$A$105,0))="是",INDEX('证据索引'!$B$6:$B$105,MATCH(F54,'证据索引'!$A$6:$A$105,0))=E54),1,0),0))</x:f>
      </x:c>
      <x:c r="U54" s="16" t="str">
        <x:f>IF(R54="","",IF(AND(R54=1,COUNTIF($AA$6:$AA$205,D54)&gt;0),1,0))</x:f>
      </x:c>
      <x:c r="V54" s="16" t="str">
        <x:f>IF(R54="","",IF(AND(R54=1,COUNTIFS('问题评论关联'!$C$6:$C$205,D54,'问题评论关联'!$G$6:$G$205,1)&gt;0),1,0))</x:f>
      </x:c>
      <x:c r="W54" s="16" t="str">
        <x:f>IF(S54="","",IF(AND(S54=1,COUNTIFS('问题评论关联'!$C$6:$C$205,D54,'问题评论关联'!$G$6:$G$205,1)&gt;0),1,0))</x:f>
      </x:c>
      <x:c r="X54" s="16" t="str">
        <x:f>IF(A54="","",IF(AND(C54="研究",OR(D54="",J54&lt;&gt;"已判定")),1,0))</x:f>
      </x:c>
      <x:c r="Y54" s="16" t="str">
        <x:f>IF(A54="","",IF(COUNTIF('批次记录'!$A$6:$A$17,B54)&lt;&gt;1,"批次缺失或重复",IF(COUNTIF('笔记筛选'!$A$6:$A$35,E54)&lt;&gt;1,"笔记缺失或重复",IF(AND(K54="是",COUNTIF('证据索引'!$A$6:$A$105,F54)&lt;&gt;1),"证据缺失或重复",""))))</x:f>
      </x:c>
      <x:c r="Z54"/>
      <x:c r="AA54" s="16" t="str">
        <x:f>IF(A54="","",IF(AND(C54="研究",T54=1),D54,""))</x:f>
      </x:c>
    </x:row>
    <x:row r="55" ht="36" customHeight="1">
      <x:c r="A55" s="11"/>
      <x:c r="B55" s="11"/>
      <x:c r="C55" s="11"/>
      <x:c r="D55" s="11"/>
      <x:c r="E55" s="11"/>
      <x:c r="F55" s="11"/>
      <x:c r="G55" s="17"/>
      <x:c r="H55" s="11"/>
      <x:c r="I55" s="11"/>
      <x:c r="J55" s="11"/>
      <x:c r="K55" s="11"/>
      <x:c r="L55" s="11"/>
      <x:c r="M55" s="11"/>
      <x:c r="N55" s="11"/>
      <x:c r="O55" s="11"/>
      <x:c r="P55" s="11"/>
      <x:c r="Q55" s="16" t="str">
        <x:f>IF(A55="","",IF(C55="研究",1,0))</x:f>
      </x:c>
      <x:c r="R55" s="16" t="str">
        <x:f>IF(OR(A55="",C55&lt;&gt;"研究",D55="",J55&lt;&gt;"已判定"),"",IF(COUNTIFS($D$6:D55,D55,$C$6:C55,"研究",$J$6:J55,"已判定")=1,1,0))</x:f>
      </x:c>
      <x:c r="S55" s="16" t="str">
        <x:f>IF(OR(A55="",C55&lt;&gt;"研究",D55="",J55&lt;&gt;"已判定"),"",IF(COUNTIFS($D$6:D55,D55,$B$6:B55,B55,$C$6:C55,"研究",$J$6:J55,"已判定")=1,1,0))</x:f>
      </x:c>
      <x:c r="T55" s="16" t="str">
        <x:f>IF(A55="","",IF(AND(D55&lt;&gt;"",J55="已判定",K55="是",L55="是",COUNTIF('笔记筛选'!$A$6:$A$35,E55)=1,COUNTIF('批次记录'!$A$6:$A$17,B55)=1,COUNTIF('证据索引'!$A$6:$A$105,F55)=1),IF(AND(INDEX('笔记筛选'!$O$6:$O$35,MATCH(E55,'笔记筛选'!$A$6:$A$35,0))=1,INDEX('证据索引'!$H$6:$H$105,MATCH(F55,'证据索引'!$A$6:$A$105,0))="可定位",INDEX('证据索引'!$F$6:$F$105,MATCH(F55,'证据索引'!$A$6:$A$105,0))="是",INDEX('证据索引'!$B$6:$B$105,MATCH(F55,'证据索引'!$A$6:$A$105,0))=E55),1,0),0))</x:f>
      </x:c>
      <x:c r="U55" s="16" t="str">
        <x:f>IF(R55="","",IF(AND(R55=1,COUNTIF($AA$6:$AA$205,D55)&gt;0),1,0))</x:f>
      </x:c>
      <x:c r="V55" s="16" t="str">
        <x:f>IF(R55="","",IF(AND(R55=1,COUNTIFS('问题评论关联'!$C$6:$C$205,D55,'问题评论关联'!$G$6:$G$205,1)&gt;0),1,0))</x:f>
      </x:c>
      <x:c r="W55" s="16" t="str">
        <x:f>IF(S55="","",IF(AND(S55=1,COUNTIFS('问题评论关联'!$C$6:$C$205,D55,'问题评论关联'!$G$6:$G$205,1)&gt;0),1,0))</x:f>
      </x:c>
      <x:c r="X55" s="16" t="str">
        <x:f>IF(A55="","",IF(AND(C55="研究",OR(D55="",J55&lt;&gt;"已判定")),1,0))</x:f>
      </x:c>
      <x:c r="Y55" s="16" t="str">
        <x:f>IF(A55="","",IF(COUNTIF('批次记录'!$A$6:$A$17,B55)&lt;&gt;1,"批次缺失或重复",IF(COUNTIF('笔记筛选'!$A$6:$A$35,E55)&lt;&gt;1,"笔记缺失或重复",IF(AND(K55="是",COUNTIF('证据索引'!$A$6:$A$105,F55)&lt;&gt;1),"证据缺失或重复",""))))</x:f>
      </x:c>
      <x:c r="Z55"/>
      <x:c r="AA55" s="16" t="str">
        <x:f>IF(A55="","",IF(AND(C55="研究",T55=1),D55,""))</x:f>
      </x:c>
    </x:row>
    <x:row r="56" ht="36" customHeight="1">
      <x:c r="A56" s="11"/>
      <x:c r="B56" s="11"/>
      <x:c r="C56" s="11"/>
      <x:c r="D56" s="11"/>
      <x:c r="E56" s="11"/>
      <x:c r="F56" s="11"/>
      <x:c r="G56" s="17"/>
      <x:c r="H56" s="11"/>
      <x:c r="I56" s="11"/>
      <x:c r="J56" s="11"/>
      <x:c r="K56" s="11"/>
      <x:c r="L56" s="11"/>
      <x:c r="M56" s="11"/>
      <x:c r="N56" s="11"/>
      <x:c r="O56" s="11"/>
      <x:c r="P56" s="11"/>
      <x:c r="Q56" s="16" t="str">
        <x:f>IF(A56="","",IF(C56="研究",1,0))</x:f>
      </x:c>
      <x:c r="R56" s="16" t="str">
        <x:f>IF(OR(A56="",C56&lt;&gt;"研究",D56="",J56&lt;&gt;"已判定"),"",IF(COUNTIFS($D$6:D56,D56,$C$6:C56,"研究",$J$6:J56,"已判定")=1,1,0))</x:f>
      </x:c>
      <x:c r="S56" s="16" t="str">
        <x:f>IF(OR(A56="",C56&lt;&gt;"研究",D56="",J56&lt;&gt;"已判定"),"",IF(COUNTIFS($D$6:D56,D56,$B$6:B56,B56,$C$6:C56,"研究",$J$6:J56,"已判定")=1,1,0))</x:f>
      </x:c>
      <x:c r="T56" s="16" t="str">
        <x:f>IF(A56="","",IF(AND(D56&lt;&gt;"",J56="已判定",K56="是",L56="是",COUNTIF('笔记筛选'!$A$6:$A$35,E56)=1,COUNTIF('批次记录'!$A$6:$A$17,B56)=1,COUNTIF('证据索引'!$A$6:$A$105,F56)=1),IF(AND(INDEX('笔记筛选'!$O$6:$O$35,MATCH(E56,'笔记筛选'!$A$6:$A$35,0))=1,INDEX('证据索引'!$H$6:$H$105,MATCH(F56,'证据索引'!$A$6:$A$105,0))="可定位",INDEX('证据索引'!$F$6:$F$105,MATCH(F56,'证据索引'!$A$6:$A$105,0))="是",INDEX('证据索引'!$B$6:$B$105,MATCH(F56,'证据索引'!$A$6:$A$105,0))=E56),1,0),0))</x:f>
      </x:c>
      <x:c r="U56" s="16" t="str">
        <x:f>IF(R56="","",IF(AND(R56=1,COUNTIF($AA$6:$AA$205,D56)&gt;0),1,0))</x:f>
      </x:c>
      <x:c r="V56" s="16" t="str">
        <x:f>IF(R56="","",IF(AND(R56=1,COUNTIFS('问题评论关联'!$C$6:$C$205,D56,'问题评论关联'!$G$6:$G$205,1)&gt;0),1,0))</x:f>
      </x:c>
      <x:c r="W56" s="16" t="str">
        <x:f>IF(S56="","",IF(AND(S56=1,COUNTIFS('问题评论关联'!$C$6:$C$205,D56,'问题评论关联'!$G$6:$G$205,1)&gt;0),1,0))</x:f>
      </x:c>
      <x:c r="X56" s="16" t="str">
        <x:f>IF(A56="","",IF(AND(C56="研究",OR(D56="",J56&lt;&gt;"已判定")),1,0))</x:f>
      </x:c>
      <x:c r="Y56" s="16" t="str">
        <x:f>IF(A56="","",IF(COUNTIF('批次记录'!$A$6:$A$17,B56)&lt;&gt;1,"批次缺失或重复",IF(COUNTIF('笔记筛选'!$A$6:$A$35,E56)&lt;&gt;1,"笔记缺失或重复",IF(AND(K56="是",COUNTIF('证据索引'!$A$6:$A$105,F56)&lt;&gt;1),"证据缺失或重复",""))))</x:f>
      </x:c>
      <x:c r="AA56" s="16" t="str">
        <x:f>IF(A56="","",IF(AND(C56="研究",T56=1),D56,""))</x:f>
      </x:c>
    </x:row>
    <x:row r="57" ht="36" customHeight="1">
      <x:c r="A57" s="11"/>
      <x:c r="B57" s="11"/>
      <x:c r="C57" s="11"/>
      <x:c r="D57" s="11"/>
      <x:c r="E57" s="11"/>
      <x:c r="F57" s="11"/>
      <x:c r="G57" s="17"/>
      <x:c r="H57" s="11"/>
      <x:c r="I57" s="11"/>
      <x:c r="J57" s="11"/>
      <x:c r="K57" s="11"/>
      <x:c r="L57" s="11"/>
      <x:c r="M57" s="11"/>
      <x:c r="N57" s="11"/>
      <x:c r="O57" s="11"/>
      <x:c r="P57" s="11"/>
      <x:c r="Q57" s="16" t="str">
        <x:f>IF(A57="","",IF(C57="研究",1,0))</x:f>
      </x:c>
      <x:c r="R57" s="16" t="str">
        <x:f>IF(OR(A57="",C57&lt;&gt;"研究",D57="",J57&lt;&gt;"已判定"),"",IF(COUNTIFS($D$6:D57,D57,$C$6:C57,"研究",$J$6:J57,"已判定")=1,1,0))</x:f>
      </x:c>
      <x:c r="S57" s="16" t="str">
        <x:f>IF(OR(A57="",C57&lt;&gt;"研究",D57="",J57&lt;&gt;"已判定"),"",IF(COUNTIFS($D$6:D57,D57,$B$6:B57,B57,$C$6:C57,"研究",$J$6:J57,"已判定")=1,1,0))</x:f>
      </x:c>
      <x:c r="T57" s="16" t="str">
        <x:f>IF(A57="","",IF(AND(D57&lt;&gt;"",J57="已判定",K57="是",L57="是",COUNTIF('笔记筛选'!$A$6:$A$35,E57)=1,COUNTIF('批次记录'!$A$6:$A$17,B57)=1,COUNTIF('证据索引'!$A$6:$A$105,F57)=1),IF(AND(INDEX('笔记筛选'!$O$6:$O$35,MATCH(E57,'笔记筛选'!$A$6:$A$35,0))=1,INDEX('证据索引'!$H$6:$H$105,MATCH(F57,'证据索引'!$A$6:$A$105,0))="可定位",INDEX('证据索引'!$F$6:$F$105,MATCH(F57,'证据索引'!$A$6:$A$105,0))="是",INDEX('证据索引'!$B$6:$B$105,MATCH(F57,'证据索引'!$A$6:$A$105,0))=E57),1,0),0))</x:f>
      </x:c>
      <x:c r="U57" s="16" t="str">
        <x:f>IF(R57="","",IF(AND(R57=1,COUNTIF($AA$6:$AA$205,D57)&gt;0),1,0))</x:f>
      </x:c>
      <x:c r="V57" s="16" t="str">
        <x:f>IF(R57="","",IF(AND(R57=1,COUNTIFS('问题评论关联'!$C$6:$C$205,D57,'问题评论关联'!$G$6:$G$205,1)&gt;0),1,0))</x:f>
      </x:c>
      <x:c r="W57" s="16" t="str">
        <x:f>IF(S57="","",IF(AND(S57=1,COUNTIFS('问题评论关联'!$C$6:$C$205,D57,'问题评论关联'!$G$6:$G$205,1)&gt;0),1,0))</x:f>
      </x:c>
      <x:c r="X57" s="16" t="str">
        <x:f>IF(A57="","",IF(AND(C57="研究",OR(D57="",J57&lt;&gt;"已判定")),1,0))</x:f>
      </x:c>
      <x:c r="Y57" s="16" t="str">
        <x:f>IF(A57="","",IF(COUNTIF('批次记录'!$A$6:$A$17,B57)&lt;&gt;1,"批次缺失或重复",IF(COUNTIF('笔记筛选'!$A$6:$A$35,E57)&lt;&gt;1,"笔记缺失或重复",IF(AND(K57="是",COUNTIF('证据索引'!$A$6:$A$105,F57)&lt;&gt;1),"证据缺失或重复",""))))</x:f>
      </x:c>
      <x:c r="AA57" s="16" t="str">
        <x:f>IF(A57="","",IF(AND(C57="研究",T57=1),D57,""))</x:f>
      </x:c>
    </x:row>
    <x:row r="58" ht="36" customHeight="1">
      <x:c r="A58" s="11"/>
      <x:c r="B58" s="11"/>
      <x:c r="C58" s="11"/>
      <x:c r="D58" s="11"/>
      <x:c r="E58" s="11"/>
      <x:c r="F58" s="11"/>
      <x:c r="G58" s="17"/>
      <x:c r="H58" s="11"/>
      <x:c r="I58" s="11"/>
      <x:c r="J58" s="11"/>
      <x:c r="K58" s="11"/>
      <x:c r="L58" s="11"/>
      <x:c r="M58" s="11"/>
      <x:c r="N58" s="11"/>
      <x:c r="O58" s="11"/>
      <x:c r="P58" s="11"/>
      <x:c r="Q58" s="16" t="str">
        <x:f>IF(A58="","",IF(C58="研究",1,0))</x:f>
      </x:c>
      <x:c r="R58" s="16" t="str">
        <x:f>IF(OR(A58="",C58&lt;&gt;"研究",D58="",J58&lt;&gt;"已判定"),"",IF(COUNTIFS($D$6:D58,D58,$C$6:C58,"研究",$J$6:J58,"已判定")=1,1,0))</x:f>
      </x:c>
      <x:c r="S58" s="16" t="str">
        <x:f>IF(OR(A58="",C58&lt;&gt;"研究",D58="",J58&lt;&gt;"已判定"),"",IF(COUNTIFS($D$6:D58,D58,$B$6:B58,B58,$C$6:C58,"研究",$J$6:J58,"已判定")=1,1,0))</x:f>
      </x:c>
      <x:c r="T58" s="16" t="str">
        <x:f>IF(A58="","",IF(AND(D58&lt;&gt;"",J58="已判定",K58="是",L58="是",COUNTIF('笔记筛选'!$A$6:$A$35,E58)=1,COUNTIF('批次记录'!$A$6:$A$17,B58)=1,COUNTIF('证据索引'!$A$6:$A$105,F58)=1),IF(AND(INDEX('笔记筛选'!$O$6:$O$35,MATCH(E58,'笔记筛选'!$A$6:$A$35,0))=1,INDEX('证据索引'!$H$6:$H$105,MATCH(F58,'证据索引'!$A$6:$A$105,0))="可定位",INDEX('证据索引'!$F$6:$F$105,MATCH(F58,'证据索引'!$A$6:$A$105,0))="是",INDEX('证据索引'!$B$6:$B$105,MATCH(F58,'证据索引'!$A$6:$A$105,0))=E58),1,0),0))</x:f>
      </x:c>
      <x:c r="U58" s="16" t="str">
        <x:f>IF(R58="","",IF(AND(R58=1,COUNTIF($AA$6:$AA$205,D58)&gt;0),1,0))</x:f>
      </x:c>
      <x:c r="V58" s="16" t="str">
        <x:f>IF(R58="","",IF(AND(R58=1,COUNTIFS('问题评论关联'!$C$6:$C$205,D58,'问题评论关联'!$G$6:$G$205,1)&gt;0),1,0))</x:f>
      </x:c>
      <x:c r="W58" s="16" t="str">
        <x:f>IF(S58="","",IF(AND(S58=1,COUNTIFS('问题评论关联'!$C$6:$C$205,D58,'问题评论关联'!$G$6:$G$205,1)&gt;0),1,0))</x:f>
      </x:c>
      <x:c r="X58" s="16" t="str">
        <x:f>IF(A58="","",IF(AND(C58="研究",OR(D58="",J58&lt;&gt;"已判定")),1,0))</x:f>
      </x:c>
      <x:c r="Y58" s="16" t="str">
        <x:f>IF(A58="","",IF(COUNTIF('批次记录'!$A$6:$A$17,B58)&lt;&gt;1,"批次缺失或重复",IF(COUNTIF('笔记筛选'!$A$6:$A$35,E58)&lt;&gt;1,"笔记缺失或重复",IF(AND(K58="是",COUNTIF('证据索引'!$A$6:$A$105,F58)&lt;&gt;1),"证据缺失或重复",""))))</x:f>
      </x:c>
      <x:c r="AA58" s="16" t="str">
        <x:f>IF(A58="","",IF(AND(C58="研究",T58=1),D58,""))</x:f>
      </x:c>
    </x:row>
    <x:row r="59" ht="36" customHeight="1">
      <x:c r="A59" s="11"/>
      <x:c r="B59" s="11"/>
      <x:c r="C59" s="11"/>
      <x:c r="D59" s="11"/>
      <x:c r="E59" s="11"/>
      <x:c r="F59" s="11"/>
      <x:c r="G59" s="17"/>
      <x:c r="H59" s="11"/>
      <x:c r="I59" s="11"/>
      <x:c r="J59" s="11"/>
      <x:c r="K59" s="11"/>
      <x:c r="L59" s="11"/>
      <x:c r="M59" s="11"/>
      <x:c r="N59" s="11"/>
      <x:c r="O59" s="11"/>
      <x:c r="P59" s="11"/>
      <x:c r="Q59" s="16" t="str">
        <x:f>IF(A59="","",IF(C59="研究",1,0))</x:f>
      </x:c>
      <x:c r="R59" s="16" t="str">
        <x:f>IF(OR(A59="",C59&lt;&gt;"研究",D59="",J59&lt;&gt;"已判定"),"",IF(COUNTIFS($D$6:D59,D59,$C$6:C59,"研究",$J$6:J59,"已判定")=1,1,0))</x:f>
      </x:c>
      <x:c r="S59" s="16" t="str">
        <x:f>IF(OR(A59="",C59&lt;&gt;"研究",D59="",J59&lt;&gt;"已判定"),"",IF(COUNTIFS($D$6:D59,D59,$B$6:B59,B59,$C$6:C59,"研究",$J$6:J59,"已判定")=1,1,0))</x:f>
      </x:c>
      <x:c r="T59" s="16" t="str">
        <x:f>IF(A59="","",IF(AND(D59&lt;&gt;"",J59="已判定",K59="是",L59="是",COUNTIF('笔记筛选'!$A$6:$A$35,E59)=1,COUNTIF('批次记录'!$A$6:$A$17,B59)=1,COUNTIF('证据索引'!$A$6:$A$105,F59)=1),IF(AND(INDEX('笔记筛选'!$O$6:$O$35,MATCH(E59,'笔记筛选'!$A$6:$A$35,0))=1,INDEX('证据索引'!$H$6:$H$105,MATCH(F59,'证据索引'!$A$6:$A$105,0))="可定位",INDEX('证据索引'!$F$6:$F$105,MATCH(F59,'证据索引'!$A$6:$A$105,0))="是",INDEX('证据索引'!$B$6:$B$105,MATCH(F59,'证据索引'!$A$6:$A$105,0))=E59),1,0),0))</x:f>
      </x:c>
      <x:c r="U59" s="16" t="str">
        <x:f>IF(R59="","",IF(AND(R59=1,COUNTIF($AA$6:$AA$205,D59)&gt;0),1,0))</x:f>
      </x:c>
      <x:c r="V59" s="16" t="str">
        <x:f>IF(R59="","",IF(AND(R59=1,COUNTIFS('问题评论关联'!$C$6:$C$205,D59,'问题评论关联'!$G$6:$G$205,1)&gt;0),1,0))</x:f>
      </x:c>
      <x:c r="W59" s="16" t="str">
        <x:f>IF(S59="","",IF(AND(S59=1,COUNTIFS('问题评论关联'!$C$6:$C$205,D59,'问题评论关联'!$G$6:$G$205,1)&gt;0),1,0))</x:f>
      </x:c>
      <x:c r="X59" s="16" t="str">
        <x:f>IF(A59="","",IF(AND(C59="研究",OR(D59="",J59&lt;&gt;"已判定")),1,0))</x:f>
      </x:c>
      <x:c r="Y59" s="16" t="str">
        <x:f>IF(A59="","",IF(COUNTIF('批次记录'!$A$6:$A$17,B59)&lt;&gt;1,"批次缺失或重复",IF(COUNTIF('笔记筛选'!$A$6:$A$35,E59)&lt;&gt;1,"笔记缺失或重复",IF(AND(K59="是",COUNTIF('证据索引'!$A$6:$A$105,F59)&lt;&gt;1),"证据缺失或重复",""))))</x:f>
      </x:c>
      <x:c r="AA59" s="16" t="str">
        <x:f>IF(A59="","",IF(AND(C59="研究",T59=1),D59,""))</x:f>
      </x:c>
    </x:row>
    <x:row r="60" ht="36" customHeight="1">
      <x:c r="A60" s="11"/>
      <x:c r="B60" s="11"/>
      <x:c r="C60" s="11"/>
      <x:c r="D60" s="11"/>
      <x:c r="E60" s="11"/>
      <x:c r="F60" s="11"/>
      <x:c r="G60" s="17"/>
      <x:c r="H60" s="11"/>
      <x:c r="I60" s="11"/>
      <x:c r="J60" s="11"/>
      <x:c r="K60" s="11"/>
      <x:c r="L60" s="11"/>
      <x:c r="M60" s="11"/>
      <x:c r="N60" s="11"/>
      <x:c r="O60" s="11"/>
      <x:c r="P60" s="11"/>
      <x:c r="Q60" s="16" t="str">
        <x:f>IF(A60="","",IF(C60="研究",1,0))</x:f>
      </x:c>
      <x:c r="R60" s="16" t="str">
        <x:f>IF(OR(A60="",C60&lt;&gt;"研究",D60="",J60&lt;&gt;"已判定"),"",IF(COUNTIFS($D$6:D60,D60,$C$6:C60,"研究",$J$6:J60,"已判定")=1,1,0))</x:f>
      </x:c>
      <x:c r="S60" s="16" t="str">
        <x:f>IF(OR(A60="",C60&lt;&gt;"研究",D60="",J60&lt;&gt;"已判定"),"",IF(COUNTIFS($D$6:D60,D60,$B$6:B60,B60,$C$6:C60,"研究",$J$6:J60,"已判定")=1,1,0))</x:f>
      </x:c>
      <x:c r="T60" s="16" t="str">
        <x:f>IF(A60="","",IF(AND(D60&lt;&gt;"",J60="已判定",K60="是",L60="是",COUNTIF('笔记筛选'!$A$6:$A$35,E60)=1,COUNTIF('批次记录'!$A$6:$A$17,B60)=1,COUNTIF('证据索引'!$A$6:$A$105,F60)=1),IF(AND(INDEX('笔记筛选'!$O$6:$O$35,MATCH(E60,'笔记筛选'!$A$6:$A$35,0))=1,INDEX('证据索引'!$H$6:$H$105,MATCH(F60,'证据索引'!$A$6:$A$105,0))="可定位",INDEX('证据索引'!$F$6:$F$105,MATCH(F60,'证据索引'!$A$6:$A$105,0))="是",INDEX('证据索引'!$B$6:$B$105,MATCH(F60,'证据索引'!$A$6:$A$105,0))=E60),1,0),0))</x:f>
      </x:c>
      <x:c r="U60" s="16" t="str">
        <x:f>IF(R60="","",IF(AND(R60=1,COUNTIF($AA$6:$AA$205,D60)&gt;0),1,0))</x:f>
      </x:c>
      <x:c r="V60" s="16" t="str">
        <x:f>IF(R60="","",IF(AND(R60=1,COUNTIFS('问题评论关联'!$C$6:$C$205,D60,'问题评论关联'!$G$6:$G$205,1)&gt;0),1,0))</x:f>
      </x:c>
      <x:c r="W60" s="16" t="str">
        <x:f>IF(S60="","",IF(AND(S60=1,COUNTIFS('问题评论关联'!$C$6:$C$205,D60,'问题评论关联'!$G$6:$G$205,1)&gt;0),1,0))</x:f>
      </x:c>
      <x:c r="X60" s="16" t="str">
        <x:f>IF(A60="","",IF(AND(C60="研究",OR(D60="",J60&lt;&gt;"已判定")),1,0))</x:f>
      </x:c>
      <x:c r="Y60" s="16" t="str">
        <x:f>IF(A60="","",IF(COUNTIF('批次记录'!$A$6:$A$17,B60)&lt;&gt;1,"批次缺失或重复",IF(COUNTIF('笔记筛选'!$A$6:$A$35,E60)&lt;&gt;1,"笔记缺失或重复",IF(AND(K60="是",COUNTIF('证据索引'!$A$6:$A$105,F60)&lt;&gt;1),"证据缺失或重复",""))))</x:f>
      </x:c>
      <x:c r="AA60" s="16" t="str">
        <x:f>IF(A60="","",IF(AND(C60="研究",T60=1),D60,""))</x:f>
      </x:c>
    </x:row>
    <x:row r="61" ht="36" customHeight="1">
      <x:c r="A61" s="11"/>
      <x:c r="B61" s="11"/>
      <x:c r="C61" s="11"/>
      <x:c r="D61" s="11"/>
      <x:c r="E61" s="11"/>
      <x:c r="F61" s="11"/>
      <x:c r="G61" s="17"/>
      <x:c r="H61" s="11"/>
      <x:c r="I61" s="11"/>
      <x:c r="J61" s="11"/>
      <x:c r="K61" s="11"/>
      <x:c r="L61" s="11"/>
      <x:c r="M61" s="11"/>
      <x:c r="N61" s="11"/>
      <x:c r="O61" s="11"/>
      <x:c r="P61" s="11"/>
      <x:c r="Q61" s="16" t="str">
        <x:f>IF(A61="","",IF(C61="研究",1,0))</x:f>
      </x:c>
      <x:c r="R61" s="16" t="str">
        <x:f>IF(OR(A61="",C61&lt;&gt;"研究",D61="",J61&lt;&gt;"已判定"),"",IF(COUNTIFS($D$6:D61,D61,$C$6:C61,"研究",$J$6:J61,"已判定")=1,1,0))</x:f>
      </x:c>
      <x:c r="S61" s="16" t="str">
        <x:f>IF(OR(A61="",C61&lt;&gt;"研究",D61="",J61&lt;&gt;"已判定"),"",IF(COUNTIFS($D$6:D61,D61,$B$6:B61,B61,$C$6:C61,"研究",$J$6:J61,"已判定")=1,1,0))</x:f>
      </x:c>
      <x:c r="T61" s="16" t="str">
        <x:f>IF(A61="","",IF(AND(D61&lt;&gt;"",J61="已判定",K61="是",L61="是",COUNTIF('笔记筛选'!$A$6:$A$35,E61)=1,COUNTIF('批次记录'!$A$6:$A$17,B61)=1,COUNTIF('证据索引'!$A$6:$A$105,F61)=1),IF(AND(INDEX('笔记筛选'!$O$6:$O$35,MATCH(E61,'笔记筛选'!$A$6:$A$35,0))=1,INDEX('证据索引'!$H$6:$H$105,MATCH(F61,'证据索引'!$A$6:$A$105,0))="可定位",INDEX('证据索引'!$F$6:$F$105,MATCH(F61,'证据索引'!$A$6:$A$105,0))="是",INDEX('证据索引'!$B$6:$B$105,MATCH(F61,'证据索引'!$A$6:$A$105,0))=E61),1,0),0))</x:f>
      </x:c>
      <x:c r="U61" s="16" t="str">
        <x:f>IF(R61="","",IF(AND(R61=1,COUNTIF($AA$6:$AA$205,D61)&gt;0),1,0))</x:f>
      </x:c>
      <x:c r="V61" s="16" t="str">
        <x:f>IF(R61="","",IF(AND(R61=1,COUNTIFS('问题评论关联'!$C$6:$C$205,D61,'问题评论关联'!$G$6:$G$205,1)&gt;0),1,0))</x:f>
      </x:c>
      <x:c r="W61" s="16" t="str">
        <x:f>IF(S61="","",IF(AND(S61=1,COUNTIFS('问题评论关联'!$C$6:$C$205,D61,'问题评论关联'!$G$6:$G$205,1)&gt;0),1,0))</x:f>
      </x:c>
      <x:c r="X61" s="16" t="str">
        <x:f>IF(A61="","",IF(AND(C61="研究",OR(D61="",J61&lt;&gt;"已判定")),1,0))</x:f>
      </x:c>
      <x:c r="Y61" s="16" t="str">
        <x:f>IF(A61="","",IF(COUNTIF('批次记录'!$A$6:$A$17,B61)&lt;&gt;1,"批次缺失或重复",IF(COUNTIF('笔记筛选'!$A$6:$A$35,E61)&lt;&gt;1,"笔记缺失或重复",IF(AND(K61="是",COUNTIF('证据索引'!$A$6:$A$105,F61)&lt;&gt;1),"证据缺失或重复",""))))</x:f>
      </x:c>
      <x:c r="AA61" s="16" t="str">
        <x:f>IF(A61="","",IF(AND(C61="研究",T61=1),D61,""))</x:f>
      </x:c>
    </x:row>
    <x:row r="62" ht="36" customHeight="1">
      <x:c r="A62" s="11"/>
      <x:c r="B62" s="11"/>
      <x:c r="C62" s="11"/>
      <x:c r="D62" s="11"/>
      <x:c r="E62" s="11"/>
      <x:c r="F62" s="11"/>
      <x:c r="G62" s="17"/>
      <x:c r="H62" s="11"/>
      <x:c r="I62" s="11"/>
      <x:c r="J62" s="11"/>
      <x:c r="K62" s="11"/>
      <x:c r="L62" s="11"/>
      <x:c r="M62" s="11"/>
      <x:c r="N62" s="11"/>
      <x:c r="O62" s="11"/>
      <x:c r="P62" s="11"/>
      <x:c r="Q62" s="16" t="str">
        <x:f>IF(A62="","",IF(C62="研究",1,0))</x:f>
      </x:c>
      <x:c r="R62" s="16" t="str">
        <x:f>IF(OR(A62="",C62&lt;&gt;"研究",D62="",J62&lt;&gt;"已判定"),"",IF(COUNTIFS($D$6:D62,D62,$C$6:C62,"研究",$J$6:J62,"已判定")=1,1,0))</x:f>
      </x:c>
      <x:c r="S62" s="16" t="str">
        <x:f>IF(OR(A62="",C62&lt;&gt;"研究",D62="",J62&lt;&gt;"已判定"),"",IF(COUNTIFS($D$6:D62,D62,$B$6:B62,B62,$C$6:C62,"研究",$J$6:J62,"已判定")=1,1,0))</x:f>
      </x:c>
      <x:c r="T62" s="16" t="str">
        <x:f>IF(A62="","",IF(AND(D62&lt;&gt;"",J62="已判定",K62="是",L62="是",COUNTIF('笔记筛选'!$A$6:$A$35,E62)=1,COUNTIF('批次记录'!$A$6:$A$17,B62)=1,COUNTIF('证据索引'!$A$6:$A$105,F62)=1),IF(AND(INDEX('笔记筛选'!$O$6:$O$35,MATCH(E62,'笔记筛选'!$A$6:$A$35,0))=1,INDEX('证据索引'!$H$6:$H$105,MATCH(F62,'证据索引'!$A$6:$A$105,0))="可定位",INDEX('证据索引'!$F$6:$F$105,MATCH(F62,'证据索引'!$A$6:$A$105,0))="是",INDEX('证据索引'!$B$6:$B$105,MATCH(F62,'证据索引'!$A$6:$A$105,0))=E62),1,0),0))</x:f>
      </x:c>
      <x:c r="U62" s="16" t="str">
        <x:f>IF(R62="","",IF(AND(R62=1,COUNTIF($AA$6:$AA$205,D62)&gt;0),1,0))</x:f>
      </x:c>
      <x:c r="V62" s="16" t="str">
        <x:f>IF(R62="","",IF(AND(R62=1,COUNTIFS('问题评论关联'!$C$6:$C$205,D62,'问题评论关联'!$G$6:$G$205,1)&gt;0),1,0))</x:f>
      </x:c>
      <x:c r="W62" s="16" t="str">
        <x:f>IF(S62="","",IF(AND(S62=1,COUNTIFS('问题评论关联'!$C$6:$C$205,D62,'问题评论关联'!$G$6:$G$205,1)&gt;0),1,0))</x:f>
      </x:c>
      <x:c r="X62" s="16" t="str">
        <x:f>IF(A62="","",IF(AND(C62="研究",OR(D62="",J62&lt;&gt;"已判定")),1,0))</x:f>
      </x:c>
      <x:c r="Y62" s="16" t="str">
        <x:f>IF(A62="","",IF(COUNTIF('批次记录'!$A$6:$A$17,B62)&lt;&gt;1,"批次缺失或重复",IF(COUNTIF('笔记筛选'!$A$6:$A$35,E62)&lt;&gt;1,"笔记缺失或重复",IF(AND(K62="是",COUNTIF('证据索引'!$A$6:$A$105,F62)&lt;&gt;1),"证据缺失或重复",""))))</x:f>
      </x:c>
      <x:c r="AA62" s="16" t="str">
        <x:f>IF(A62="","",IF(AND(C62="研究",T62=1),D62,""))</x:f>
      </x:c>
    </x:row>
    <x:row r="63" ht="36" customHeight="1">
      <x:c r="A63" s="11"/>
      <x:c r="B63" s="11"/>
      <x:c r="C63" s="11"/>
      <x:c r="D63" s="11"/>
      <x:c r="E63" s="11"/>
      <x:c r="F63" s="11"/>
      <x:c r="G63" s="17"/>
      <x:c r="H63" s="11"/>
      <x:c r="I63" s="11"/>
      <x:c r="J63" s="11"/>
      <x:c r="K63" s="11"/>
      <x:c r="L63" s="11"/>
      <x:c r="M63" s="11"/>
      <x:c r="N63" s="11"/>
      <x:c r="O63" s="11"/>
      <x:c r="P63" s="11"/>
      <x:c r="Q63" s="16" t="str">
        <x:f>IF(A63="","",IF(C63="研究",1,0))</x:f>
      </x:c>
      <x:c r="R63" s="16" t="str">
        <x:f>IF(OR(A63="",C63&lt;&gt;"研究",D63="",J63&lt;&gt;"已判定"),"",IF(COUNTIFS($D$6:D63,D63,$C$6:C63,"研究",$J$6:J63,"已判定")=1,1,0))</x:f>
      </x:c>
      <x:c r="S63" s="16" t="str">
        <x:f>IF(OR(A63="",C63&lt;&gt;"研究",D63="",J63&lt;&gt;"已判定"),"",IF(COUNTIFS($D$6:D63,D63,$B$6:B63,B63,$C$6:C63,"研究",$J$6:J63,"已判定")=1,1,0))</x:f>
      </x:c>
      <x:c r="T63" s="16" t="str">
        <x:f>IF(A63="","",IF(AND(D63&lt;&gt;"",J63="已判定",K63="是",L63="是",COUNTIF('笔记筛选'!$A$6:$A$35,E63)=1,COUNTIF('批次记录'!$A$6:$A$17,B63)=1,COUNTIF('证据索引'!$A$6:$A$105,F63)=1),IF(AND(INDEX('笔记筛选'!$O$6:$O$35,MATCH(E63,'笔记筛选'!$A$6:$A$35,0))=1,INDEX('证据索引'!$H$6:$H$105,MATCH(F63,'证据索引'!$A$6:$A$105,0))="可定位",INDEX('证据索引'!$F$6:$F$105,MATCH(F63,'证据索引'!$A$6:$A$105,0))="是",INDEX('证据索引'!$B$6:$B$105,MATCH(F63,'证据索引'!$A$6:$A$105,0))=E63),1,0),0))</x:f>
      </x:c>
      <x:c r="U63" s="16" t="str">
        <x:f>IF(R63="","",IF(AND(R63=1,COUNTIF($AA$6:$AA$205,D63)&gt;0),1,0))</x:f>
      </x:c>
      <x:c r="V63" s="16" t="str">
        <x:f>IF(R63="","",IF(AND(R63=1,COUNTIFS('问题评论关联'!$C$6:$C$205,D63,'问题评论关联'!$G$6:$G$205,1)&gt;0),1,0))</x:f>
      </x:c>
      <x:c r="W63" s="16" t="str">
        <x:f>IF(S63="","",IF(AND(S63=1,COUNTIFS('问题评论关联'!$C$6:$C$205,D63,'问题评论关联'!$G$6:$G$205,1)&gt;0),1,0))</x:f>
      </x:c>
      <x:c r="X63" s="16" t="str">
        <x:f>IF(A63="","",IF(AND(C63="研究",OR(D63="",J63&lt;&gt;"已判定")),1,0))</x:f>
      </x:c>
      <x:c r="Y63" s="16" t="str">
        <x:f>IF(A63="","",IF(COUNTIF('批次记录'!$A$6:$A$17,B63)&lt;&gt;1,"批次缺失或重复",IF(COUNTIF('笔记筛选'!$A$6:$A$35,E63)&lt;&gt;1,"笔记缺失或重复",IF(AND(K63="是",COUNTIF('证据索引'!$A$6:$A$105,F63)&lt;&gt;1),"证据缺失或重复",""))))</x:f>
      </x:c>
      <x:c r="AA63" s="16" t="str">
        <x:f>IF(A63="","",IF(AND(C63="研究",T63=1),D63,""))</x:f>
      </x:c>
    </x:row>
    <x:row r="64" ht="36" customHeight="1">
      <x:c r="A64" s="11"/>
      <x:c r="B64" s="11"/>
      <x:c r="C64" s="11"/>
      <x:c r="D64" s="11"/>
      <x:c r="E64" s="11"/>
      <x:c r="F64" s="11"/>
      <x:c r="G64" s="17"/>
      <x:c r="H64" s="11"/>
      <x:c r="I64" s="11"/>
      <x:c r="J64" s="11"/>
      <x:c r="K64" s="11"/>
      <x:c r="L64" s="11"/>
      <x:c r="M64" s="11"/>
      <x:c r="N64" s="11"/>
      <x:c r="O64" s="11"/>
      <x:c r="P64" s="11"/>
      <x:c r="Q64" s="16" t="str">
        <x:f>IF(A64="","",IF(C64="研究",1,0))</x:f>
      </x:c>
      <x:c r="R64" s="16" t="str">
        <x:f>IF(OR(A64="",C64&lt;&gt;"研究",D64="",J64&lt;&gt;"已判定"),"",IF(COUNTIFS($D$6:D64,D64,$C$6:C64,"研究",$J$6:J64,"已判定")=1,1,0))</x:f>
      </x:c>
      <x:c r="S64" s="16" t="str">
        <x:f>IF(OR(A64="",C64&lt;&gt;"研究",D64="",J64&lt;&gt;"已判定"),"",IF(COUNTIFS($D$6:D64,D64,$B$6:B64,B64,$C$6:C64,"研究",$J$6:J64,"已判定")=1,1,0))</x:f>
      </x:c>
      <x:c r="T64" s="16" t="str">
        <x:f>IF(A64="","",IF(AND(D64&lt;&gt;"",J64="已判定",K64="是",L64="是",COUNTIF('笔记筛选'!$A$6:$A$35,E64)=1,COUNTIF('批次记录'!$A$6:$A$17,B64)=1,COUNTIF('证据索引'!$A$6:$A$105,F64)=1),IF(AND(INDEX('笔记筛选'!$O$6:$O$35,MATCH(E64,'笔记筛选'!$A$6:$A$35,0))=1,INDEX('证据索引'!$H$6:$H$105,MATCH(F64,'证据索引'!$A$6:$A$105,0))="可定位",INDEX('证据索引'!$F$6:$F$105,MATCH(F64,'证据索引'!$A$6:$A$105,0))="是",INDEX('证据索引'!$B$6:$B$105,MATCH(F64,'证据索引'!$A$6:$A$105,0))=E64),1,0),0))</x:f>
      </x:c>
      <x:c r="U64" s="16" t="str">
        <x:f>IF(R64="","",IF(AND(R64=1,COUNTIF($AA$6:$AA$205,D64)&gt;0),1,0))</x:f>
      </x:c>
      <x:c r="V64" s="16" t="str">
        <x:f>IF(R64="","",IF(AND(R64=1,COUNTIFS('问题评论关联'!$C$6:$C$205,D64,'问题评论关联'!$G$6:$G$205,1)&gt;0),1,0))</x:f>
      </x:c>
      <x:c r="W64" s="16" t="str">
        <x:f>IF(S64="","",IF(AND(S64=1,COUNTIFS('问题评论关联'!$C$6:$C$205,D64,'问题评论关联'!$G$6:$G$205,1)&gt;0),1,0))</x:f>
      </x:c>
      <x:c r="X64" s="16" t="str">
        <x:f>IF(A64="","",IF(AND(C64="研究",OR(D64="",J64&lt;&gt;"已判定")),1,0))</x:f>
      </x:c>
      <x:c r="Y64" s="16" t="str">
        <x:f>IF(A64="","",IF(COUNTIF('批次记录'!$A$6:$A$17,B64)&lt;&gt;1,"批次缺失或重复",IF(COUNTIF('笔记筛选'!$A$6:$A$35,E64)&lt;&gt;1,"笔记缺失或重复",IF(AND(K64="是",COUNTIF('证据索引'!$A$6:$A$105,F64)&lt;&gt;1),"证据缺失或重复",""))))</x:f>
      </x:c>
      <x:c r="AA64" s="16" t="str">
        <x:f>IF(A64="","",IF(AND(C64="研究",T64=1),D64,""))</x:f>
      </x:c>
    </x:row>
    <x:row r="65" ht="36" customHeight="1">
      <x:c r="A65" s="11"/>
      <x:c r="B65" s="11"/>
      <x:c r="C65" s="11"/>
      <x:c r="D65" s="11"/>
      <x:c r="E65" s="11"/>
      <x:c r="F65" s="11"/>
      <x:c r="G65" s="17"/>
      <x:c r="H65" s="11"/>
      <x:c r="I65" s="11"/>
      <x:c r="J65" s="11"/>
      <x:c r="K65" s="11"/>
      <x:c r="L65" s="11"/>
      <x:c r="M65" s="11"/>
      <x:c r="N65" s="11"/>
      <x:c r="O65" s="11"/>
      <x:c r="P65" s="11"/>
      <x:c r="Q65" s="16" t="str">
        <x:f>IF(A65="","",IF(C65="研究",1,0))</x:f>
      </x:c>
      <x:c r="R65" s="16" t="str">
        <x:f>IF(OR(A65="",C65&lt;&gt;"研究",D65="",J65&lt;&gt;"已判定"),"",IF(COUNTIFS($D$6:D65,D65,$C$6:C65,"研究",$J$6:J65,"已判定")=1,1,0))</x:f>
      </x:c>
      <x:c r="S65" s="16" t="str">
        <x:f>IF(OR(A65="",C65&lt;&gt;"研究",D65="",J65&lt;&gt;"已判定"),"",IF(COUNTIFS($D$6:D65,D65,$B$6:B65,B65,$C$6:C65,"研究",$J$6:J65,"已判定")=1,1,0))</x:f>
      </x:c>
      <x:c r="T65" s="16" t="str">
        <x:f>IF(A65="","",IF(AND(D65&lt;&gt;"",J65="已判定",K65="是",L65="是",COUNTIF('笔记筛选'!$A$6:$A$35,E65)=1,COUNTIF('批次记录'!$A$6:$A$17,B65)=1,COUNTIF('证据索引'!$A$6:$A$105,F65)=1),IF(AND(INDEX('笔记筛选'!$O$6:$O$35,MATCH(E65,'笔记筛选'!$A$6:$A$35,0))=1,INDEX('证据索引'!$H$6:$H$105,MATCH(F65,'证据索引'!$A$6:$A$105,0))="可定位",INDEX('证据索引'!$F$6:$F$105,MATCH(F65,'证据索引'!$A$6:$A$105,0))="是",INDEX('证据索引'!$B$6:$B$105,MATCH(F65,'证据索引'!$A$6:$A$105,0))=E65),1,0),0))</x:f>
      </x:c>
      <x:c r="U65" s="16" t="str">
        <x:f>IF(R65="","",IF(AND(R65=1,COUNTIF($AA$6:$AA$205,D65)&gt;0),1,0))</x:f>
      </x:c>
      <x:c r="V65" s="16" t="str">
        <x:f>IF(R65="","",IF(AND(R65=1,COUNTIFS('问题评论关联'!$C$6:$C$205,D65,'问题评论关联'!$G$6:$G$205,1)&gt;0),1,0))</x:f>
      </x:c>
      <x:c r="W65" s="16" t="str">
        <x:f>IF(S65="","",IF(AND(S65=1,COUNTIFS('问题评论关联'!$C$6:$C$205,D65,'问题评论关联'!$G$6:$G$205,1)&gt;0),1,0))</x:f>
      </x:c>
      <x:c r="X65" s="16" t="str">
        <x:f>IF(A65="","",IF(AND(C65="研究",OR(D65="",J65&lt;&gt;"已判定")),1,0))</x:f>
      </x:c>
      <x:c r="Y65" s="16" t="str">
        <x:f>IF(A65="","",IF(COUNTIF('批次记录'!$A$6:$A$17,B65)&lt;&gt;1,"批次缺失或重复",IF(COUNTIF('笔记筛选'!$A$6:$A$35,E65)&lt;&gt;1,"笔记缺失或重复",IF(AND(K65="是",COUNTIF('证据索引'!$A$6:$A$105,F65)&lt;&gt;1),"证据缺失或重复",""))))</x:f>
      </x:c>
      <x:c r="AA65" s="16" t="str">
        <x:f>IF(A65="","",IF(AND(C65="研究",T65=1),D65,""))</x:f>
      </x:c>
    </x:row>
    <x:row r="66" ht="36" customHeight="1">
      <x:c r="A66" s="11"/>
      <x:c r="B66" s="11"/>
      <x:c r="C66" s="11"/>
      <x:c r="D66" s="11"/>
      <x:c r="E66" s="11"/>
      <x:c r="F66" s="11"/>
      <x:c r="G66" s="17"/>
      <x:c r="H66" s="11"/>
      <x:c r="I66" s="11"/>
      <x:c r="J66" s="11"/>
      <x:c r="K66" s="11"/>
      <x:c r="L66" s="11"/>
      <x:c r="M66" s="11"/>
      <x:c r="N66" s="11"/>
      <x:c r="O66" s="11"/>
      <x:c r="P66" s="11"/>
      <x:c r="Q66" s="16" t="str">
        <x:f>IF(A66="","",IF(C66="研究",1,0))</x:f>
      </x:c>
      <x:c r="R66" s="16" t="str">
        <x:f>IF(OR(A66="",C66&lt;&gt;"研究",D66="",J66&lt;&gt;"已判定"),"",IF(COUNTIFS($D$6:D66,D66,$C$6:C66,"研究",$J$6:J66,"已判定")=1,1,0))</x:f>
      </x:c>
      <x:c r="S66" s="16" t="str">
        <x:f>IF(OR(A66="",C66&lt;&gt;"研究",D66="",J66&lt;&gt;"已判定"),"",IF(COUNTIFS($D$6:D66,D66,$B$6:B66,B66,$C$6:C66,"研究",$J$6:J66,"已判定")=1,1,0))</x:f>
      </x:c>
      <x:c r="T66" s="16" t="str">
        <x:f>IF(A66="","",IF(AND(D66&lt;&gt;"",J66="已判定",K66="是",L66="是",COUNTIF('笔记筛选'!$A$6:$A$35,E66)=1,COUNTIF('批次记录'!$A$6:$A$17,B66)=1,COUNTIF('证据索引'!$A$6:$A$105,F66)=1),IF(AND(INDEX('笔记筛选'!$O$6:$O$35,MATCH(E66,'笔记筛选'!$A$6:$A$35,0))=1,INDEX('证据索引'!$H$6:$H$105,MATCH(F66,'证据索引'!$A$6:$A$105,0))="可定位",INDEX('证据索引'!$F$6:$F$105,MATCH(F66,'证据索引'!$A$6:$A$105,0))="是",INDEX('证据索引'!$B$6:$B$105,MATCH(F66,'证据索引'!$A$6:$A$105,0))=E66),1,0),0))</x:f>
      </x:c>
      <x:c r="U66" s="16" t="str">
        <x:f>IF(R66="","",IF(AND(R66=1,COUNTIF($AA$6:$AA$205,D66)&gt;0),1,0))</x:f>
      </x:c>
      <x:c r="V66" s="16" t="str">
        <x:f>IF(R66="","",IF(AND(R66=1,COUNTIFS('问题评论关联'!$C$6:$C$205,D66,'问题评论关联'!$G$6:$G$205,1)&gt;0),1,0))</x:f>
      </x:c>
      <x:c r="W66" s="16" t="str">
        <x:f>IF(S66="","",IF(AND(S66=1,COUNTIFS('问题评论关联'!$C$6:$C$205,D66,'问题评论关联'!$G$6:$G$205,1)&gt;0),1,0))</x:f>
      </x:c>
      <x:c r="X66" s="16" t="str">
        <x:f>IF(A66="","",IF(AND(C66="研究",OR(D66="",J66&lt;&gt;"已判定")),1,0))</x:f>
      </x:c>
      <x:c r="Y66" s="16" t="str">
        <x:f>IF(A66="","",IF(COUNTIF('批次记录'!$A$6:$A$17,B66)&lt;&gt;1,"批次缺失或重复",IF(COUNTIF('笔记筛选'!$A$6:$A$35,E66)&lt;&gt;1,"笔记缺失或重复",IF(AND(K66="是",COUNTIF('证据索引'!$A$6:$A$105,F66)&lt;&gt;1),"证据缺失或重复",""))))</x:f>
      </x:c>
      <x:c r="AA66" s="16" t="str">
        <x:f>IF(A66="","",IF(AND(C66="研究",T66=1),D66,""))</x:f>
      </x:c>
    </x:row>
    <x:row r="67" ht="36" customHeight="1">
      <x:c r="A67" s="11"/>
      <x:c r="B67" s="11"/>
      <x:c r="C67" s="11"/>
      <x:c r="D67" s="11"/>
      <x:c r="E67" s="11"/>
      <x:c r="F67" s="11"/>
      <x:c r="G67" s="17"/>
      <x:c r="H67" s="11"/>
      <x:c r="I67" s="11"/>
      <x:c r="J67" s="11"/>
      <x:c r="K67" s="11"/>
      <x:c r="L67" s="11"/>
      <x:c r="M67" s="11"/>
      <x:c r="N67" s="11"/>
      <x:c r="O67" s="11"/>
      <x:c r="P67" s="11"/>
      <x:c r="Q67" s="16" t="str">
        <x:f>IF(A67="","",IF(C67="研究",1,0))</x:f>
      </x:c>
      <x:c r="R67" s="16" t="str">
        <x:f>IF(OR(A67="",C67&lt;&gt;"研究",D67="",J67&lt;&gt;"已判定"),"",IF(COUNTIFS($D$6:D67,D67,$C$6:C67,"研究",$J$6:J67,"已判定")=1,1,0))</x:f>
      </x:c>
      <x:c r="S67" s="16" t="str">
        <x:f>IF(OR(A67="",C67&lt;&gt;"研究",D67="",J67&lt;&gt;"已判定"),"",IF(COUNTIFS($D$6:D67,D67,$B$6:B67,B67,$C$6:C67,"研究",$J$6:J67,"已判定")=1,1,0))</x:f>
      </x:c>
      <x:c r="T67" s="16" t="str">
        <x:f>IF(A67="","",IF(AND(D67&lt;&gt;"",J67="已判定",K67="是",L67="是",COUNTIF('笔记筛选'!$A$6:$A$35,E67)=1,COUNTIF('批次记录'!$A$6:$A$17,B67)=1,COUNTIF('证据索引'!$A$6:$A$105,F67)=1),IF(AND(INDEX('笔记筛选'!$O$6:$O$35,MATCH(E67,'笔记筛选'!$A$6:$A$35,0))=1,INDEX('证据索引'!$H$6:$H$105,MATCH(F67,'证据索引'!$A$6:$A$105,0))="可定位",INDEX('证据索引'!$F$6:$F$105,MATCH(F67,'证据索引'!$A$6:$A$105,0))="是",INDEX('证据索引'!$B$6:$B$105,MATCH(F67,'证据索引'!$A$6:$A$105,0))=E67),1,0),0))</x:f>
      </x:c>
      <x:c r="U67" s="16" t="str">
        <x:f>IF(R67="","",IF(AND(R67=1,COUNTIF($AA$6:$AA$205,D67)&gt;0),1,0))</x:f>
      </x:c>
      <x:c r="V67" s="16" t="str">
        <x:f>IF(R67="","",IF(AND(R67=1,COUNTIFS('问题评论关联'!$C$6:$C$205,D67,'问题评论关联'!$G$6:$G$205,1)&gt;0),1,0))</x:f>
      </x:c>
      <x:c r="W67" s="16" t="str">
        <x:f>IF(S67="","",IF(AND(S67=1,COUNTIFS('问题评论关联'!$C$6:$C$205,D67,'问题评论关联'!$G$6:$G$205,1)&gt;0),1,0))</x:f>
      </x:c>
      <x:c r="X67" s="16" t="str">
        <x:f>IF(A67="","",IF(AND(C67="研究",OR(D67="",J67&lt;&gt;"已判定")),1,0))</x:f>
      </x:c>
      <x:c r="Y67" s="16" t="str">
        <x:f>IF(A67="","",IF(COUNTIF('批次记录'!$A$6:$A$17,B67)&lt;&gt;1,"批次缺失或重复",IF(COUNTIF('笔记筛选'!$A$6:$A$35,E67)&lt;&gt;1,"笔记缺失或重复",IF(AND(K67="是",COUNTIF('证据索引'!$A$6:$A$105,F67)&lt;&gt;1),"证据缺失或重复",""))))</x:f>
      </x:c>
      <x:c r="AA67" s="16" t="str">
        <x:f>IF(A67="","",IF(AND(C67="研究",T67=1),D67,""))</x:f>
      </x:c>
    </x:row>
    <x:row r="68" ht="36" customHeight="1">
      <x:c r="A68" s="11"/>
      <x:c r="B68" s="11"/>
      <x:c r="C68" s="11"/>
      <x:c r="D68" s="11"/>
      <x:c r="E68" s="11"/>
      <x:c r="F68" s="11"/>
      <x:c r="G68" s="17"/>
      <x:c r="H68" s="11"/>
      <x:c r="I68" s="11"/>
      <x:c r="J68" s="11"/>
      <x:c r="K68" s="11"/>
      <x:c r="L68" s="11"/>
      <x:c r="M68" s="11"/>
      <x:c r="N68" s="11"/>
      <x:c r="O68" s="11"/>
      <x:c r="P68" s="11"/>
      <x:c r="Q68" s="16" t="str">
        <x:f>IF(A68="","",IF(C68="研究",1,0))</x:f>
      </x:c>
      <x:c r="R68" s="16" t="str">
        <x:f>IF(OR(A68="",C68&lt;&gt;"研究",D68="",J68&lt;&gt;"已判定"),"",IF(COUNTIFS($D$6:D68,D68,$C$6:C68,"研究",$J$6:J68,"已判定")=1,1,0))</x:f>
      </x:c>
      <x:c r="S68" s="16" t="str">
        <x:f>IF(OR(A68="",C68&lt;&gt;"研究",D68="",J68&lt;&gt;"已判定"),"",IF(COUNTIFS($D$6:D68,D68,$B$6:B68,B68,$C$6:C68,"研究",$J$6:J68,"已判定")=1,1,0))</x:f>
      </x:c>
      <x:c r="T68" s="16" t="str">
        <x:f>IF(A68="","",IF(AND(D68&lt;&gt;"",J68="已判定",K68="是",L68="是",COUNTIF('笔记筛选'!$A$6:$A$35,E68)=1,COUNTIF('批次记录'!$A$6:$A$17,B68)=1,COUNTIF('证据索引'!$A$6:$A$105,F68)=1),IF(AND(INDEX('笔记筛选'!$O$6:$O$35,MATCH(E68,'笔记筛选'!$A$6:$A$35,0))=1,INDEX('证据索引'!$H$6:$H$105,MATCH(F68,'证据索引'!$A$6:$A$105,0))="可定位",INDEX('证据索引'!$F$6:$F$105,MATCH(F68,'证据索引'!$A$6:$A$105,0))="是",INDEX('证据索引'!$B$6:$B$105,MATCH(F68,'证据索引'!$A$6:$A$105,0))=E68),1,0),0))</x:f>
      </x:c>
      <x:c r="U68" s="16" t="str">
        <x:f>IF(R68="","",IF(AND(R68=1,COUNTIF($AA$6:$AA$205,D68)&gt;0),1,0))</x:f>
      </x:c>
      <x:c r="V68" s="16" t="str">
        <x:f>IF(R68="","",IF(AND(R68=1,COUNTIFS('问题评论关联'!$C$6:$C$205,D68,'问题评论关联'!$G$6:$G$205,1)&gt;0),1,0))</x:f>
      </x:c>
      <x:c r="W68" s="16" t="str">
        <x:f>IF(S68="","",IF(AND(S68=1,COUNTIFS('问题评论关联'!$C$6:$C$205,D68,'问题评论关联'!$G$6:$G$205,1)&gt;0),1,0))</x:f>
      </x:c>
      <x:c r="X68" s="16" t="str">
        <x:f>IF(A68="","",IF(AND(C68="研究",OR(D68="",J68&lt;&gt;"已判定")),1,0))</x:f>
      </x:c>
      <x:c r="Y68" s="16" t="str">
        <x:f>IF(A68="","",IF(COUNTIF('批次记录'!$A$6:$A$17,B68)&lt;&gt;1,"批次缺失或重复",IF(COUNTIF('笔记筛选'!$A$6:$A$35,E68)&lt;&gt;1,"笔记缺失或重复",IF(AND(K68="是",COUNTIF('证据索引'!$A$6:$A$105,F68)&lt;&gt;1),"证据缺失或重复",""))))</x:f>
      </x:c>
      <x:c r="AA68" s="16" t="str">
        <x:f>IF(A68="","",IF(AND(C68="研究",T68=1),D68,""))</x:f>
      </x:c>
    </x:row>
    <x:row r="69" ht="36" customHeight="1">
      <x:c r="A69" s="11"/>
      <x:c r="B69" s="11"/>
      <x:c r="C69" s="11"/>
      <x:c r="D69" s="11"/>
      <x:c r="E69" s="11"/>
      <x:c r="F69" s="11"/>
      <x:c r="G69" s="17"/>
      <x:c r="H69" s="11"/>
      <x:c r="I69" s="11"/>
      <x:c r="J69" s="11"/>
      <x:c r="K69" s="11"/>
      <x:c r="L69" s="11"/>
      <x:c r="M69" s="11"/>
      <x:c r="N69" s="11"/>
      <x:c r="O69" s="11"/>
      <x:c r="P69" s="11"/>
      <x:c r="Q69" s="16" t="str">
        <x:f>IF(A69="","",IF(C69="研究",1,0))</x:f>
      </x:c>
      <x:c r="R69" s="16" t="str">
        <x:f>IF(OR(A69="",C69&lt;&gt;"研究",D69="",J69&lt;&gt;"已判定"),"",IF(COUNTIFS($D$6:D69,D69,$C$6:C69,"研究",$J$6:J69,"已判定")=1,1,0))</x:f>
      </x:c>
      <x:c r="S69" s="16" t="str">
        <x:f>IF(OR(A69="",C69&lt;&gt;"研究",D69="",J69&lt;&gt;"已判定"),"",IF(COUNTIFS($D$6:D69,D69,$B$6:B69,B69,$C$6:C69,"研究",$J$6:J69,"已判定")=1,1,0))</x:f>
      </x:c>
      <x:c r="T69" s="16" t="str">
        <x:f>IF(A69="","",IF(AND(D69&lt;&gt;"",J69="已判定",K69="是",L69="是",COUNTIF('笔记筛选'!$A$6:$A$35,E69)=1,COUNTIF('批次记录'!$A$6:$A$17,B69)=1,COUNTIF('证据索引'!$A$6:$A$105,F69)=1),IF(AND(INDEX('笔记筛选'!$O$6:$O$35,MATCH(E69,'笔记筛选'!$A$6:$A$35,0))=1,INDEX('证据索引'!$H$6:$H$105,MATCH(F69,'证据索引'!$A$6:$A$105,0))="可定位",INDEX('证据索引'!$F$6:$F$105,MATCH(F69,'证据索引'!$A$6:$A$105,0))="是",INDEX('证据索引'!$B$6:$B$105,MATCH(F69,'证据索引'!$A$6:$A$105,0))=E69),1,0),0))</x:f>
      </x:c>
      <x:c r="U69" s="16" t="str">
        <x:f>IF(R69="","",IF(AND(R69=1,COUNTIF($AA$6:$AA$205,D69)&gt;0),1,0))</x:f>
      </x:c>
      <x:c r="V69" s="16" t="str">
        <x:f>IF(R69="","",IF(AND(R69=1,COUNTIFS('问题评论关联'!$C$6:$C$205,D69,'问题评论关联'!$G$6:$G$205,1)&gt;0),1,0))</x:f>
      </x:c>
      <x:c r="W69" s="16" t="str">
        <x:f>IF(S69="","",IF(AND(S69=1,COUNTIFS('问题评论关联'!$C$6:$C$205,D69,'问题评论关联'!$G$6:$G$205,1)&gt;0),1,0))</x:f>
      </x:c>
      <x:c r="X69" s="16" t="str">
        <x:f>IF(A69="","",IF(AND(C69="研究",OR(D69="",J69&lt;&gt;"已判定")),1,0))</x:f>
      </x:c>
      <x:c r="Y69" s="16" t="str">
        <x:f>IF(A69="","",IF(COUNTIF('批次记录'!$A$6:$A$17,B69)&lt;&gt;1,"批次缺失或重复",IF(COUNTIF('笔记筛选'!$A$6:$A$35,E69)&lt;&gt;1,"笔记缺失或重复",IF(AND(K69="是",COUNTIF('证据索引'!$A$6:$A$105,F69)&lt;&gt;1),"证据缺失或重复",""))))</x:f>
      </x:c>
      <x:c r="AA69" s="16" t="str">
        <x:f>IF(A69="","",IF(AND(C69="研究",T69=1),D69,""))</x:f>
      </x:c>
    </x:row>
    <x:row r="70" ht="36" customHeight="1">
      <x:c r="A70" s="11"/>
      <x:c r="B70" s="11"/>
      <x:c r="C70" s="11"/>
      <x:c r="D70" s="11"/>
      <x:c r="E70" s="11"/>
      <x:c r="F70" s="11"/>
      <x:c r="G70" s="17"/>
      <x:c r="H70" s="11"/>
      <x:c r="I70" s="11"/>
      <x:c r="J70" s="11"/>
      <x:c r="K70" s="11"/>
      <x:c r="L70" s="11"/>
      <x:c r="M70" s="11"/>
      <x:c r="N70" s="11"/>
      <x:c r="O70" s="11"/>
      <x:c r="P70" s="11"/>
      <x:c r="Q70" s="16" t="str">
        <x:f>IF(A70="","",IF(C70="研究",1,0))</x:f>
      </x:c>
      <x:c r="R70" s="16" t="str">
        <x:f>IF(OR(A70="",C70&lt;&gt;"研究",D70="",J70&lt;&gt;"已判定"),"",IF(COUNTIFS($D$6:D70,D70,$C$6:C70,"研究",$J$6:J70,"已判定")=1,1,0))</x:f>
      </x:c>
      <x:c r="S70" s="16" t="str">
        <x:f>IF(OR(A70="",C70&lt;&gt;"研究",D70="",J70&lt;&gt;"已判定"),"",IF(COUNTIFS($D$6:D70,D70,$B$6:B70,B70,$C$6:C70,"研究",$J$6:J70,"已判定")=1,1,0))</x:f>
      </x:c>
      <x:c r="T70" s="16" t="str">
        <x:f>IF(A70="","",IF(AND(D70&lt;&gt;"",J70="已判定",K70="是",L70="是",COUNTIF('笔记筛选'!$A$6:$A$35,E70)=1,COUNTIF('批次记录'!$A$6:$A$17,B70)=1,COUNTIF('证据索引'!$A$6:$A$105,F70)=1),IF(AND(INDEX('笔记筛选'!$O$6:$O$35,MATCH(E70,'笔记筛选'!$A$6:$A$35,0))=1,INDEX('证据索引'!$H$6:$H$105,MATCH(F70,'证据索引'!$A$6:$A$105,0))="可定位",INDEX('证据索引'!$F$6:$F$105,MATCH(F70,'证据索引'!$A$6:$A$105,0))="是",INDEX('证据索引'!$B$6:$B$105,MATCH(F70,'证据索引'!$A$6:$A$105,0))=E70),1,0),0))</x:f>
      </x:c>
      <x:c r="U70" s="16" t="str">
        <x:f>IF(R70="","",IF(AND(R70=1,COUNTIF($AA$6:$AA$205,D70)&gt;0),1,0))</x:f>
      </x:c>
      <x:c r="V70" s="16" t="str">
        <x:f>IF(R70="","",IF(AND(R70=1,COUNTIFS('问题评论关联'!$C$6:$C$205,D70,'问题评论关联'!$G$6:$G$205,1)&gt;0),1,0))</x:f>
      </x:c>
      <x:c r="W70" s="16" t="str">
        <x:f>IF(S70="","",IF(AND(S70=1,COUNTIFS('问题评论关联'!$C$6:$C$205,D70,'问题评论关联'!$G$6:$G$205,1)&gt;0),1,0))</x:f>
      </x:c>
      <x:c r="X70" s="16" t="str">
        <x:f>IF(A70="","",IF(AND(C70="研究",OR(D70="",J70&lt;&gt;"已判定")),1,0))</x:f>
      </x:c>
      <x:c r="Y70" s="16" t="str">
        <x:f>IF(A70="","",IF(COUNTIF('批次记录'!$A$6:$A$17,B70)&lt;&gt;1,"批次缺失或重复",IF(COUNTIF('笔记筛选'!$A$6:$A$35,E70)&lt;&gt;1,"笔记缺失或重复",IF(AND(K70="是",COUNTIF('证据索引'!$A$6:$A$105,F70)&lt;&gt;1),"证据缺失或重复",""))))</x:f>
      </x:c>
      <x:c r="AA70" s="16" t="str">
        <x:f>IF(A70="","",IF(AND(C70="研究",T70=1),D70,""))</x:f>
      </x:c>
    </x:row>
    <x:row r="71" ht="36" customHeight="1">
      <x:c r="A71" s="11"/>
      <x:c r="B71" s="11"/>
      <x:c r="C71" s="11"/>
      <x:c r="D71" s="11"/>
      <x:c r="E71" s="11"/>
      <x:c r="F71" s="11"/>
      <x:c r="G71" s="17"/>
      <x:c r="H71" s="11"/>
      <x:c r="I71" s="11"/>
      <x:c r="J71" s="11"/>
      <x:c r="K71" s="11"/>
      <x:c r="L71" s="11"/>
      <x:c r="M71" s="11"/>
      <x:c r="N71" s="11"/>
      <x:c r="O71" s="11"/>
      <x:c r="P71" s="11"/>
      <x:c r="Q71" s="16" t="str">
        <x:f>IF(A71="","",IF(C71="研究",1,0))</x:f>
      </x:c>
      <x:c r="R71" s="16" t="str">
        <x:f>IF(OR(A71="",C71&lt;&gt;"研究",D71="",J71&lt;&gt;"已判定"),"",IF(COUNTIFS($D$6:D71,D71,$C$6:C71,"研究",$J$6:J71,"已判定")=1,1,0))</x:f>
      </x:c>
      <x:c r="S71" s="16" t="str">
        <x:f>IF(OR(A71="",C71&lt;&gt;"研究",D71="",J71&lt;&gt;"已判定"),"",IF(COUNTIFS($D$6:D71,D71,$B$6:B71,B71,$C$6:C71,"研究",$J$6:J71,"已判定")=1,1,0))</x:f>
      </x:c>
      <x:c r="T71" s="16" t="str">
        <x:f>IF(A71="","",IF(AND(D71&lt;&gt;"",J71="已判定",K71="是",L71="是",COUNTIF('笔记筛选'!$A$6:$A$35,E71)=1,COUNTIF('批次记录'!$A$6:$A$17,B71)=1,COUNTIF('证据索引'!$A$6:$A$105,F71)=1),IF(AND(INDEX('笔记筛选'!$O$6:$O$35,MATCH(E71,'笔记筛选'!$A$6:$A$35,0))=1,INDEX('证据索引'!$H$6:$H$105,MATCH(F71,'证据索引'!$A$6:$A$105,0))="可定位",INDEX('证据索引'!$F$6:$F$105,MATCH(F71,'证据索引'!$A$6:$A$105,0))="是",INDEX('证据索引'!$B$6:$B$105,MATCH(F71,'证据索引'!$A$6:$A$105,0))=E71),1,0),0))</x:f>
      </x:c>
      <x:c r="U71" s="16" t="str">
        <x:f>IF(R71="","",IF(AND(R71=1,COUNTIF($AA$6:$AA$205,D71)&gt;0),1,0))</x:f>
      </x:c>
      <x:c r="V71" s="16" t="str">
        <x:f>IF(R71="","",IF(AND(R71=1,COUNTIFS('问题评论关联'!$C$6:$C$205,D71,'问题评论关联'!$G$6:$G$205,1)&gt;0),1,0))</x:f>
      </x:c>
      <x:c r="W71" s="16" t="str">
        <x:f>IF(S71="","",IF(AND(S71=1,COUNTIFS('问题评论关联'!$C$6:$C$205,D71,'问题评论关联'!$G$6:$G$205,1)&gt;0),1,0))</x:f>
      </x:c>
      <x:c r="X71" s="16" t="str">
        <x:f>IF(A71="","",IF(AND(C71="研究",OR(D71="",J71&lt;&gt;"已判定")),1,0))</x:f>
      </x:c>
      <x:c r="Y71" s="16" t="str">
        <x:f>IF(A71="","",IF(COUNTIF('批次记录'!$A$6:$A$17,B71)&lt;&gt;1,"批次缺失或重复",IF(COUNTIF('笔记筛选'!$A$6:$A$35,E71)&lt;&gt;1,"笔记缺失或重复",IF(AND(K71="是",COUNTIF('证据索引'!$A$6:$A$105,F71)&lt;&gt;1),"证据缺失或重复",""))))</x:f>
      </x:c>
      <x:c r="AA71" s="16" t="str">
        <x:f>IF(A71="","",IF(AND(C71="研究",T71=1),D71,""))</x:f>
      </x:c>
    </x:row>
    <x:row r="72" ht="36" customHeight="1">
      <x:c r="A72" s="11"/>
      <x:c r="B72" s="11"/>
      <x:c r="C72" s="11"/>
      <x:c r="D72" s="11"/>
      <x:c r="E72" s="11"/>
      <x:c r="F72" s="11"/>
      <x:c r="G72" s="17"/>
      <x:c r="H72" s="11"/>
      <x:c r="I72" s="11"/>
      <x:c r="J72" s="11"/>
      <x:c r="K72" s="11"/>
      <x:c r="L72" s="11"/>
      <x:c r="M72" s="11"/>
      <x:c r="N72" s="11"/>
      <x:c r="O72" s="11"/>
      <x:c r="P72" s="11"/>
      <x:c r="Q72" s="16" t="str">
        <x:f>IF(A72="","",IF(C72="研究",1,0))</x:f>
      </x:c>
      <x:c r="R72" s="16" t="str">
        <x:f>IF(OR(A72="",C72&lt;&gt;"研究",D72="",J72&lt;&gt;"已判定"),"",IF(COUNTIFS($D$6:D72,D72,$C$6:C72,"研究",$J$6:J72,"已判定")=1,1,0))</x:f>
      </x:c>
      <x:c r="S72" s="16" t="str">
        <x:f>IF(OR(A72="",C72&lt;&gt;"研究",D72="",J72&lt;&gt;"已判定"),"",IF(COUNTIFS($D$6:D72,D72,$B$6:B72,B72,$C$6:C72,"研究",$J$6:J72,"已判定")=1,1,0))</x:f>
      </x:c>
      <x:c r="T72" s="16" t="str">
        <x:f>IF(A72="","",IF(AND(D72&lt;&gt;"",J72="已判定",K72="是",L72="是",COUNTIF('笔记筛选'!$A$6:$A$35,E72)=1,COUNTIF('批次记录'!$A$6:$A$17,B72)=1,COUNTIF('证据索引'!$A$6:$A$105,F72)=1),IF(AND(INDEX('笔记筛选'!$O$6:$O$35,MATCH(E72,'笔记筛选'!$A$6:$A$35,0))=1,INDEX('证据索引'!$H$6:$H$105,MATCH(F72,'证据索引'!$A$6:$A$105,0))="可定位",INDEX('证据索引'!$F$6:$F$105,MATCH(F72,'证据索引'!$A$6:$A$105,0))="是",INDEX('证据索引'!$B$6:$B$105,MATCH(F72,'证据索引'!$A$6:$A$105,0))=E72),1,0),0))</x:f>
      </x:c>
      <x:c r="U72" s="16" t="str">
        <x:f>IF(R72="","",IF(AND(R72=1,COUNTIF($AA$6:$AA$205,D72)&gt;0),1,0))</x:f>
      </x:c>
      <x:c r="V72" s="16" t="str">
        <x:f>IF(R72="","",IF(AND(R72=1,COUNTIFS('问题评论关联'!$C$6:$C$205,D72,'问题评论关联'!$G$6:$G$205,1)&gt;0),1,0))</x:f>
      </x:c>
      <x:c r="W72" s="16" t="str">
        <x:f>IF(S72="","",IF(AND(S72=1,COUNTIFS('问题评论关联'!$C$6:$C$205,D72,'问题评论关联'!$G$6:$G$205,1)&gt;0),1,0))</x:f>
      </x:c>
      <x:c r="X72" s="16" t="str">
        <x:f>IF(A72="","",IF(AND(C72="研究",OR(D72="",J72&lt;&gt;"已判定")),1,0))</x:f>
      </x:c>
      <x:c r="Y72" s="16" t="str">
        <x:f>IF(A72="","",IF(COUNTIF('批次记录'!$A$6:$A$17,B72)&lt;&gt;1,"批次缺失或重复",IF(COUNTIF('笔记筛选'!$A$6:$A$35,E72)&lt;&gt;1,"笔记缺失或重复",IF(AND(K72="是",COUNTIF('证据索引'!$A$6:$A$105,F72)&lt;&gt;1),"证据缺失或重复",""))))</x:f>
      </x:c>
      <x:c r="AA72" s="16" t="str">
        <x:f>IF(A72="","",IF(AND(C72="研究",T72=1),D72,""))</x:f>
      </x:c>
    </x:row>
    <x:row r="73" ht="36" customHeight="1">
      <x:c r="A73" s="11"/>
      <x:c r="B73" s="11"/>
      <x:c r="C73" s="11"/>
      <x:c r="D73" s="11"/>
      <x:c r="E73" s="11"/>
      <x:c r="F73" s="11"/>
      <x:c r="G73" s="17"/>
      <x:c r="H73" s="11"/>
      <x:c r="I73" s="11"/>
      <x:c r="J73" s="11"/>
      <x:c r="K73" s="11"/>
      <x:c r="L73" s="11"/>
      <x:c r="M73" s="11"/>
      <x:c r="N73" s="11"/>
      <x:c r="O73" s="11"/>
      <x:c r="P73" s="11"/>
      <x:c r="Q73" s="16" t="str">
        <x:f>IF(A73="","",IF(C73="研究",1,0))</x:f>
      </x:c>
      <x:c r="R73" s="16" t="str">
        <x:f>IF(OR(A73="",C73&lt;&gt;"研究",D73="",J73&lt;&gt;"已判定"),"",IF(COUNTIFS($D$6:D73,D73,$C$6:C73,"研究",$J$6:J73,"已判定")=1,1,0))</x:f>
      </x:c>
      <x:c r="S73" s="16" t="str">
        <x:f>IF(OR(A73="",C73&lt;&gt;"研究",D73="",J73&lt;&gt;"已判定"),"",IF(COUNTIFS($D$6:D73,D73,$B$6:B73,B73,$C$6:C73,"研究",$J$6:J73,"已判定")=1,1,0))</x:f>
      </x:c>
      <x:c r="T73" s="16" t="str">
        <x:f>IF(A73="","",IF(AND(D73&lt;&gt;"",J73="已判定",K73="是",L73="是",COUNTIF('笔记筛选'!$A$6:$A$35,E73)=1,COUNTIF('批次记录'!$A$6:$A$17,B73)=1,COUNTIF('证据索引'!$A$6:$A$105,F73)=1),IF(AND(INDEX('笔记筛选'!$O$6:$O$35,MATCH(E73,'笔记筛选'!$A$6:$A$35,0))=1,INDEX('证据索引'!$H$6:$H$105,MATCH(F73,'证据索引'!$A$6:$A$105,0))="可定位",INDEX('证据索引'!$F$6:$F$105,MATCH(F73,'证据索引'!$A$6:$A$105,0))="是",INDEX('证据索引'!$B$6:$B$105,MATCH(F73,'证据索引'!$A$6:$A$105,0))=E73),1,0),0))</x:f>
      </x:c>
      <x:c r="U73" s="16" t="str">
        <x:f>IF(R73="","",IF(AND(R73=1,COUNTIF($AA$6:$AA$205,D73)&gt;0),1,0))</x:f>
      </x:c>
      <x:c r="V73" s="16" t="str">
        <x:f>IF(R73="","",IF(AND(R73=1,COUNTIFS('问题评论关联'!$C$6:$C$205,D73,'问题评论关联'!$G$6:$G$205,1)&gt;0),1,0))</x:f>
      </x:c>
      <x:c r="W73" s="16" t="str">
        <x:f>IF(S73="","",IF(AND(S73=1,COUNTIFS('问题评论关联'!$C$6:$C$205,D73,'问题评论关联'!$G$6:$G$205,1)&gt;0),1,0))</x:f>
      </x:c>
      <x:c r="X73" s="16" t="str">
        <x:f>IF(A73="","",IF(AND(C73="研究",OR(D73="",J73&lt;&gt;"已判定")),1,0))</x:f>
      </x:c>
      <x:c r="Y73" s="16" t="str">
        <x:f>IF(A73="","",IF(COUNTIF('批次记录'!$A$6:$A$17,B73)&lt;&gt;1,"批次缺失或重复",IF(COUNTIF('笔记筛选'!$A$6:$A$35,E73)&lt;&gt;1,"笔记缺失或重复",IF(AND(K73="是",COUNTIF('证据索引'!$A$6:$A$105,F73)&lt;&gt;1),"证据缺失或重复",""))))</x:f>
      </x:c>
      <x:c r="AA73" s="16" t="str">
        <x:f>IF(A73="","",IF(AND(C73="研究",T73=1),D73,""))</x:f>
      </x:c>
    </x:row>
    <x:row r="74" ht="36" customHeight="1">
      <x:c r="A74" s="11"/>
      <x:c r="B74" s="11"/>
      <x:c r="C74" s="11"/>
      <x:c r="D74" s="11"/>
      <x:c r="E74" s="11"/>
      <x:c r="F74" s="11"/>
      <x:c r="G74" s="17"/>
      <x:c r="H74" s="11"/>
      <x:c r="I74" s="11"/>
      <x:c r="J74" s="11"/>
      <x:c r="K74" s="11"/>
      <x:c r="L74" s="11"/>
      <x:c r="M74" s="11"/>
      <x:c r="N74" s="11"/>
      <x:c r="O74" s="11"/>
      <x:c r="P74" s="11"/>
      <x:c r="Q74" s="16" t="str">
        <x:f>IF(A74="","",IF(C74="研究",1,0))</x:f>
      </x:c>
      <x:c r="R74" s="16" t="str">
        <x:f>IF(OR(A74="",C74&lt;&gt;"研究",D74="",J74&lt;&gt;"已判定"),"",IF(COUNTIFS($D$6:D74,D74,$C$6:C74,"研究",$J$6:J74,"已判定")=1,1,0))</x:f>
      </x:c>
      <x:c r="S74" s="16" t="str">
        <x:f>IF(OR(A74="",C74&lt;&gt;"研究",D74="",J74&lt;&gt;"已判定"),"",IF(COUNTIFS($D$6:D74,D74,$B$6:B74,B74,$C$6:C74,"研究",$J$6:J74,"已判定")=1,1,0))</x:f>
      </x:c>
      <x:c r="T74" s="16" t="str">
        <x:f>IF(A74="","",IF(AND(D74&lt;&gt;"",J74="已判定",K74="是",L74="是",COUNTIF('笔记筛选'!$A$6:$A$35,E74)=1,COUNTIF('批次记录'!$A$6:$A$17,B74)=1,COUNTIF('证据索引'!$A$6:$A$105,F74)=1),IF(AND(INDEX('笔记筛选'!$O$6:$O$35,MATCH(E74,'笔记筛选'!$A$6:$A$35,0))=1,INDEX('证据索引'!$H$6:$H$105,MATCH(F74,'证据索引'!$A$6:$A$105,0))="可定位",INDEX('证据索引'!$F$6:$F$105,MATCH(F74,'证据索引'!$A$6:$A$105,0))="是",INDEX('证据索引'!$B$6:$B$105,MATCH(F74,'证据索引'!$A$6:$A$105,0))=E74),1,0),0))</x:f>
      </x:c>
      <x:c r="U74" s="16" t="str">
        <x:f>IF(R74="","",IF(AND(R74=1,COUNTIF($AA$6:$AA$205,D74)&gt;0),1,0))</x:f>
      </x:c>
      <x:c r="V74" s="16" t="str">
        <x:f>IF(R74="","",IF(AND(R74=1,COUNTIFS('问题评论关联'!$C$6:$C$205,D74,'问题评论关联'!$G$6:$G$205,1)&gt;0),1,0))</x:f>
      </x:c>
      <x:c r="W74" s="16" t="str">
        <x:f>IF(S74="","",IF(AND(S74=1,COUNTIFS('问题评论关联'!$C$6:$C$205,D74,'问题评论关联'!$G$6:$G$205,1)&gt;0),1,0))</x:f>
      </x:c>
      <x:c r="X74" s="16" t="str">
        <x:f>IF(A74="","",IF(AND(C74="研究",OR(D74="",J74&lt;&gt;"已判定")),1,0))</x:f>
      </x:c>
      <x:c r="Y74" s="16" t="str">
        <x:f>IF(A74="","",IF(COUNTIF('批次记录'!$A$6:$A$17,B74)&lt;&gt;1,"批次缺失或重复",IF(COUNTIF('笔记筛选'!$A$6:$A$35,E74)&lt;&gt;1,"笔记缺失或重复",IF(AND(K74="是",COUNTIF('证据索引'!$A$6:$A$105,F74)&lt;&gt;1),"证据缺失或重复",""))))</x:f>
      </x:c>
      <x:c r="AA74" s="16" t="str">
        <x:f>IF(A74="","",IF(AND(C74="研究",T74=1),D74,""))</x:f>
      </x:c>
    </x:row>
    <x:row r="75" ht="36" customHeight="1">
      <x:c r="A75" s="11"/>
      <x:c r="B75" s="11"/>
      <x:c r="C75" s="11"/>
      <x:c r="D75" s="11"/>
      <x:c r="E75" s="11"/>
      <x:c r="F75" s="11"/>
      <x:c r="G75" s="17"/>
      <x:c r="H75" s="11"/>
      <x:c r="I75" s="11"/>
      <x:c r="J75" s="11"/>
      <x:c r="K75" s="11"/>
      <x:c r="L75" s="11"/>
      <x:c r="M75" s="11"/>
      <x:c r="N75" s="11"/>
      <x:c r="O75" s="11"/>
      <x:c r="P75" s="11"/>
      <x:c r="Q75" s="16" t="str">
        <x:f>IF(A75="","",IF(C75="研究",1,0))</x:f>
      </x:c>
      <x:c r="R75" s="16" t="str">
        <x:f>IF(OR(A75="",C75&lt;&gt;"研究",D75="",J75&lt;&gt;"已判定"),"",IF(COUNTIFS($D$6:D75,D75,$C$6:C75,"研究",$J$6:J75,"已判定")=1,1,0))</x:f>
      </x:c>
      <x:c r="S75" s="16" t="str">
        <x:f>IF(OR(A75="",C75&lt;&gt;"研究",D75="",J75&lt;&gt;"已判定"),"",IF(COUNTIFS($D$6:D75,D75,$B$6:B75,B75,$C$6:C75,"研究",$J$6:J75,"已判定")=1,1,0))</x:f>
      </x:c>
      <x:c r="T75" s="16" t="str">
        <x:f>IF(A75="","",IF(AND(D75&lt;&gt;"",J75="已判定",K75="是",L75="是",COUNTIF('笔记筛选'!$A$6:$A$35,E75)=1,COUNTIF('批次记录'!$A$6:$A$17,B75)=1,COUNTIF('证据索引'!$A$6:$A$105,F75)=1),IF(AND(INDEX('笔记筛选'!$O$6:$O$35,MATCH(E75,'笔记筛选'!$A$6:$A$35,0))=1,INDEX('证据索引'!$H$6:$H$105,MATCH(F75,'证据索引'!$A$6:$A$105,0))="可定位",INDEX('证据索引'!$F$6:$F$105,MATCH(F75,'证据索引'!$A$6:$A$105,0))="是",INDEX('证据索引'!$B$6:$B$105,MATCH(F75,'证据索引'!$A$6:$A$105,0))=E75),1,0),0))</x:f>
      </x:c>
      <x:c r="U75" s="16" t="str">
        <x:f>IF(R75="","",IF(AND(R75=1,COUNTIF($AA$6:$AA$205,D75)&gt;0),1,0))</x:f>
      </x:c>
      <x:c r="V75" s="16" t="str">
        <x:f>IF(R75="","",IF(AND(R75=1,COUNTIFS('问题评论关联'!$C$6:$C$205,D75,'问题评论关联'!$G$6:$G$205,1)&gt;0),1,0))</x:f>
      </x:c>
      <x:c r="W75" s="16" t="str">
        <x:f>IF(S75="","",IF(AND(S75=1,COUNTIFS('问题评论关联'!$C$6:$C$205,D75,'问题评论关联'!$G$6:$G$205,1)&gt;0),1,0))</x:f>
      </x:c>
      <x:c r="X75" s="16" t="str">
        <x:f>IF(A75="","",IF(AND(C75="研究",OR(D75="",J75&lt;&gt;"已判定")),1,0))</x:f>
      </x:c>
      <x:c r="Y75" s="16" t="str">
        <x:f>IF(A75="","",IF(COUNTIF('批次记录'!$A$6:$A$17,B75)&lt;&gt;1,"批次缺失或重复",IF(COUNTIF('笔记筛选'!$A$6:$A$35,E75)&lt;&gt;1,"笔记缺失或重复",IF(AND(K75="是",COUNTIF('证据索引'!$A$6:$A$105,F75)&lt;&gt;1),"证据缺失或重复",""))))</x:f>
      </x:c>
      <x:c r="AA75" s="16" t="str">
        <x:f>IF(A75="","",IF(AND(C75="研究",T75=1),D75,""))</x:f>
      </x:c>
    </x:row>
    <x:row r="76" ht="36" customHeight="1">
      <x:c r="A76" s="11"/>
      <x:c r="B76" s="11"/>
      <x:c r="C76" s="11"/>
      <x:c r="D76" s="11"/>
      <x:c r="E76" s="11"/>
      <x:c r="F76" s="11"/>
      <x:c r="G76" s="17"/>
      <x:c r="H76" s="11"/>
      <x:c r="I76" s="11"/>
      <x:c r="J76" s="11"/>
      <x:c r="K76" s="11"/>
      <x:c r="L76" s="11"/>
      <x:c r="M76" s="11"/>
      <x:c r="N76" s="11"/>
      <x:c r="O76" s="11"/>
      <x:c r="P76" s="11"/>
      <x:c r="Q76" s="16" t="str">
        <x:f>IF(A76="","",IF(C76="研究",1,0))</x:f>
      </x:c>
      <x:c r="R76" s="16" t="str">
        <x:f>IF(OR(A76="",C76&lt;&gt;"研究",D76="",J76&lt;&gt;"已判定"),"",IF(COUNTIFS($D$6:D76,D76,$C$6:C76,"研究",$J$6:J76,"已判定")=1,1,0))</x:f>
      </x:c>
      <x:c r="S76" s="16" t="str">
        <x:f>IF(OR(A76="",C76&lt;&gt;"研究",D76="",J76&lt;&gt;"已判定"),"",IF(COUNTIFS($D$6:D76,D76,$B$6:B76,B76,$C$6:C76,"研究",$J$6:J76,"已判定")=1,1,0))</x:f>
      </x:c>
      <x:c r="T76" s="16" t="str">
        <x:f>IF(A76="","",IF(AND(D76&lt;&gt;"",J76="已判定",K76="是",L76="是",COUNTIF('笔记筛选'!$A$6:$A$35,E76)=1,COUNTIF('批次记录'!$A$6:$A$17,B76)=1,COUNTIF('证据索引'!$A$6:$A$105,F76)=1),IF(AND(INDEX('笔记筛选'!$O$6:$O$35,MATCH(E76,'笔记筛选'!$A$6:$A$35,0))=1,INDEX('证据索引'!$H$6:$H$105,MATCH(F76,'证据索引'!$A$6:$A$105,0))="可定位",INDEX('证据索引'!$F$6:$F$105,MATCH(F76,'证据索引'!$A$6:$A$105,0))="是",INDEX('证据索引'!$B$6:$B$105,MATCH(F76,'证据索引'!$A$6:$A$105,0))=E76),1,0),0))</x:f>
      </x:c>
      <x:c r="U76" s="16" t="str">
        <x:f>IF(R76="","",IF(AND(R76=1,COUNTIF($AA$6:$AA$205,D76)&gt;0),1,0))</x:f>
      </x:c>
      <x:c r="V76" s="16" t="str">
        <x:f>IF(R76="","",IF(AND(R76=1,COUNTIFS('问题评论关联'!$C$6:$C$205,D76,'问题评论关联'!$G$6:$G$205,1)&gt;0),1,0))</x:f>
      </x:c>
      <x:c r="W76" s="16" t="str">
        <x:f>IF(S76="","",IF(AND(S76=1,COUNTIFS('问题评论关联'!$C$6:$C$205,D76,'问题评论关联'!$G$6:$G$205,1)&gt;0),1,0))</x:f>
      </x:c>
      <x:c r="X76" s="16" t="str">
        <x:f>IF(A76="","",IF(AND(C76="研究",OR(D76="",J76&lt;&gt;"已判定")),1,0))</x:f>
      </x:c>
      <x:c r="Y76" s="16" t="str">
        <x:f>IF(A76="","",IF(COUNTIF('批次记录'!$A$6:$A$17,B76)&lt;&gt;1,"批次缺失或重复",IF(COUNTIF('笔记筛选'!$A$6:$A$35,E76)&lt;&gt;1,"笔记缺失或重复",IF(AND(K76="是",COUNTIF('证据索引'!$A$6:$A$105,F76)&lt;&gt;1),"证据缺失或重复",""))))</x:f>
      </x:c>
      <x:c r="AA76" s="16" t="str">
        <x:f>IF(A76="","",IF(AND(C76="研究",T76=1),D76,""))</x:f>
      </x:c>
    </x:row>
    <x:row r="77" ht="36" customHeight="1">
      <x:c r="A77" s="11"/>
      <x:c r="B77" s="11"/>
      <x:c r="C77" s="11"/>
      <x:c r="D77" s="11"/>
      <x:c r="E77" s="11"/>
      <x:c r="F77" s="11"/>
      <x:c r="G77" s="17"/>
      <x:c r="H77" s="11"/>
      <x:c r="I77" s="11"/>
      <x:c r="J77" s="11"/>
      <x:c r="K77" s="11"/>
      <x:c r="L77" s="11"/>
      <x:c r="M77" s="11"/>
      <x:c r="N77" s="11"/>
      <x:c r="O77" s="11"/>
      <x:c r="P77" s="11"/>
      <x:c r="Q77" s="16" t="str">
        <x:f>IF(A77="","",IF(C77="研究",1,0))</x:f>
      </x:c>
      <x:c r="R77" s="16" t="str">
        <x:f>IF(OR(A77="",C77&lt;&gt;"研究",D77="",J77&lt;&gt;"已判定"),"",IF(COUNTIFS($D$6:D77,D77,$C$6:C77,"研究",$J$6:J77,"已判定")=1,1,0))</x:f>
      </x:c>
      <x:c r="S77" s="16" t="str">
        <x:f>IF(OR(A77="",C77&lt;&gt;"研究",D77="",J77&lt;&gt;"已判定"),"",IF(COUNTIFS($D$6:D77,D77,$B$6:B77,B77,$C$6:C77,"研究",$J$6:J77,"已判定")=1,1,0))</x:f>
      </x:c>
      <x:c r="T77" s="16" t="str">
        <x:f>IF(A77="","",IF(AND(D77&lt;&gt;"",J77="已判定",K77="是",L77="是",COUNTIF('笔记筛选'!$A$6:$A$35,E77)=1,COUNTIF('批次记录'!$A$6:$A$17,B77)=1,COUNTIF('证据索引'!$A$6:$A$105,F77)=1),IF(AND(INDEX('笔记筛选'!$O$6:$O$35,MATCH(E77,'笔记筛选'!$A$6:$A$35,0))=1,INDEX('证据索引'!$H$6:$H$105,MATCH(F77,'证据索引'!$A$6:$A$105,0))="可定位",INDEX('证据索引'!$F$6:$F$105,MATCH(F77,'证据索引'!$A$6:$A$105,0))="是",INDEX('证据索引'!$B$6:$B$105,MATCH(F77,'证据索引'!$A$6:$A$105,0))=E77),1,0),0))</x:f>
      </x:c>
      <x:c r="U77" s="16" t="str">
        <x:f>IF(R77="","",IF(AND(R77=1,COUNTIF($AA$6:$AA$205,D77)&gt;0),1,0))</x:f>
      </x:c>
      <x:c r="V77" s="16" t="str">
        <x:f>IF(R77="","",IF(AND(R77=1,COUNTIFS('问题评论关联'!$C$6:$C$205,D77,'问题评论关联'!$G$6:$G$205,1)&gt;0),1,0))</x:f>
      </x:c>
      <x:c r="W77" s="16" t="str">
        <x:f>IF(S77="","",IF(AND(S77=1,COUNTIFS('问题评论关联'!$C$6:$C$205,D77,'问题评论关联'!$G$6:$G$205,1)&gt;0),1,0))</x:f>
      </x:c>
      <x:c r="X77" s="16" t="str">
        <x:f>IF(A77="","",IF(AND(C77="研究",OR(D77="",J77&lt;&gt;"已判定")),1,0))</x:f>
      </x:c>
      <x:c r="Y77" s="16" t="str">
        <x:f>IF(A77="","",IF(COUNTIF('批次记录'!$A$6:$A$17,B77)&lt;&gt;1,"批次缺失或重复",IF(COUNTIF('笔记筛选'!$A$6:$A$35,E77)&lt;&gt;1,"笔记缺失或重复",IF(AND(K77="是",COUNTIF('证据索引'!$A$6:$A$105,F77)&lt;&gt;1),"证据缺失或重复",""))))</x:f>
      </x:c>
      <x:c r="AA77" s="16" t="str">
        <x:f>IF(A77="","",IF(AND(C77="研究",T77=1),D77,""))</x:f>
      </x:c>
    </x:row>
    <x:row r="78" ht="36" customHeight="1">
      <x:c r="A78" s="11"/>
      <x:c r="B78" s="11"/>
      <x:c r="C78" s="11"/>
      <x:c r="D78" s="11"/>
      <x:c r="E78" s="11"/>
      <x:c r="F78" s="11"/>
      <x:c r="G78" s="17"/>
      <x:c r="H78" s="11"/>
      <x:c r="I78" s="11"/>
      <x:c r="J78" s="11"/>
      <x:c r="K78" s="11"/>
      <x:c r="L78" s="11"/>
      <x:c r="M78" s="11"/>
      <x:c r="N78" s="11"/>
      <x:c r="O78" s="11"/>
      <x:c r="P78" s="11"/>
      <x:c r="Q78" s="16" t="str">
        <x:f>IF(A78="","",IF(C78="研究",1,0))</x:f>
      </x:c>
      <x:c r="R78" s="16" t="str">
        <x:f>IF(OR(A78="",C78&lt;&gt;"研究",D78="",J78&lt;&gt;"已判定"),"",IF(COUNTIFS($D$6:D78,D78,$C$6:C78,"研究",$J$6:J78,"已判定")=1,1,0))</x:f>
      </x:c>
      <x:c r="S78" s="16" t="str">
        <x:f>IF(OR(A78="",C78&lt;&gt;"研究",D78="",J78&lt;&gt;"已判定"),"",IF(COUNTIFS($D$6:D78,D78,$B$6:B78,B78,$C$6:C78,"研究",$J$6:J78,"已判定")=1,1,0))</x:f>
      </x:c>
      <x:c r="T78" s="16" t="str">
        <x:f>IF(A78="","",IF(AND(D78&lt;&gt;"",J78="已判定",K78="是",L78="是",COUNTIF('笔记筛选'!$A$6:$A$35,E78)=1,COUNTIF('批次记录'!$A$6:$A$17,B78)=1,COUNTIF('证据索引'!$A$6:$A$105,F78)=1),IF(AND(INDEX('笔记筛选'!$O$6:$O$35,MATCH(E78,'笔记筛选'!$A$6:$A$35,0))=1,INDEX('证据索引'!$H$6:$H$105,MATCH(F78,'证据索引'!$A$6:$A$105,0))="可定位",INDEX('证据索引'!$F$6:$F$105,MATCH(F78,'证据索引'!$A$6:$A$105,0))="是",INDEX('证据索引'!$B$6:$B$105,MATCH(F78,'证据索引'!$A$6:$A$105,0))=E78),1,0),0))</x:f>
      </x:c>
      <x:c r="U78" s="16" t="str">
        <x:f>IF(R78="","",IF(AND(R78=1,COUNTIF($AA$6:$AA$205,D78)&gt;0),1,0))</x:f>
      </x:c>
      <x:c r="V78" s="16" t="str">
        <x:f>IF(R78="","",IF(AND(R78=1,COUNTIFS('问题评论关联'!$C$6:$C$205,D78,'问题评论关联'!$G$6:$G$205,1)&gt;0),1,0))</x:f>
      </x:c>
      <x:c r="W78" s="16" t="str">
        <x:f>IF(S78="","",IF(AND(S78=1,COUNTIFS('问题评论关联'!$C$6:$C$205,D78,'问题评论关联'!$G$6:$G$205,1)&gt;0),1,0))</x:f>
      </x:c>
      <x:c r="X78" s="16" t="str">
        <x:f>IF(A78="","",IF(AND(C78="研究",OR(D78="",J78&lt;&gt;"已判定")),1,0))</x:f>
      </x:c>
      <x:c r="Y78" s="16" t="str">
        <x:f>IF(A78="","",IF(COUNTIF('批次记录'!$A$6:$A$17,B78)&lt;&gt;1,"批次缺失或重复",IF(COUNTIF('笔记筛选'!$A$6:$A$35,E78)&lt;&gt;1,"笔记缺失或重复",IF(AND(K78="是",COUNTIF('证据索引'!$A$6:$A$105,F78)&lt;&gt;1),"证据缺失或重复",""))))</x:f>
      </x:c>
      <x:c r="AA78" s="16" t="str">
        <x:f>IF(A78="","",IF(AND(C78="研究",T78=1),D78,""))</x:f>
      </x:c>
    </x:row>
    <x:row r="79" ht="36" customHeight="1">
      <x:c r="A79" s="11"/>
      <x:c r="B79" s="11"/>
      <x:c r="C79" s="11"/>
      <x:c r="D79" s="11"/>
      <x:c r="E79" s="11"/>
      <x:c r="F79" s="11"/>
      <x:c r="G79" s="17"/>
      <x:c r="H79" s="11"/>
      <x:c r="I79" s="11"/>
      <x:c r="J79" s="11"/>
      <x:c r="K79" s="11"/>
      <x:c r="L79" s="11"/>
      <x:c r="M79" s="11"/>
      <x:c r="N79" s="11"/>
      <x:c r="O79" s="11"/>
      <x:c r="P79" s="11"/>
      <x:c r="Q79" s="16" t="str">
        <x:f>IF(A79="","",IF(C79="研究",1,0))</x:f>
      </x:c>
      <x:c r="R79" s="16" t="str">
        <x:f>IF(OR(A79="",C79&lt;&gt;"研究",D79="",J79&lt;&gt;"已判定"),"",IF(COUNTIFS($D$6:D79,D79,$C$6:C79,"研究",$J$6:J79,"已判定")=1,1,0))</x:f>
      </x:c>
      <x:c r="S79" s="16" t="str">
        <x:f>IF(OR(A79="",C79&lt;&gt;"研究",D79="",J79&lt;&gt;"已判定"),"",IF(COUNTIFS($D$6:D79,D79,$B$6:B79,B79,$C$6:C79,"研究",$J$6:J79,"已判定")=1,1,0))</x:f>
      </x:c>
      <x:c r="T79" s="16" t="str">
        <x:f>IF(A79="","",IF(AND(D79&lt;&gt;"",J79="已判定",K79="是",L79="是",COUNTIF('笔记筛选'!$A$6:$A$35,E79)=1,COUNTIF('批次记录'!$A$6:$A$17,B79)=1,COUNTIF('证据索引'!$A$6:$A$105,F79)=1),IF(AND(INDEX('笔记筛选'!$O$6:$O$35,MATCH(E79,'笔记筛选'!$A$6:$A$35,0))=1,INDEX('证据索引'!$H$6:$H$105,MATCH(F79,'证据索引'!$A$6:$A$105,0))="可定位",INDEX('证据索引'!$F$6:$F$105,MATCH(F79,'证据索引'!$A$6:$A$105,0))="是",INDEX('证据索引'!$B$6:$B$105,MATCH(F79,'证据索引'!$A$6:$A$105,0))=E79),1,0),0))</x:f>
      </x:c>
      <x:c r="U79" s="16" t="str">
        <x:f>IF(R79="","",IF(AND(R79=1,COUNTIF($AA$6:$AA$205,D79)&gt;0),1,0))</x:f>
      </x:c>
      <x:c r="V79" s="16" t="str">
        <x:f>IF(R79="","",IF(AND(R79=1,COUNTIFS('问题评论关联'!$C$6:$C$205,D79,'问题评论关联'!$G$6:$G$205,1)&gt;0),1,0))</x:f>
      </x:c>
      <x:c r="W79" s="16" t="str">
        <x:f>IF(S79="","",IF(AND(S79=1,COUNTIFS('问题评论关联'!$C$6:$C$205,D79,'问题评论关联'!$G$6:$G$205,1)&gt;0),1,0))</x:f>
      </x:c>
      <x:c r="X79" s="16" t="str">
        <x:f>IF(A79="","",IF(AND(C79="研究",OR(D79="",J79&lt;&gt;"已判定")),1,0))</x:f>
      </x:c>
      <x:c r="Y79" s="16" t="str">
        <x:f>IF(A79="","",IF(COUNTIF('批次记录'!$A$6:$A$17,B79)&lt;&gt;1,"批次缺失或重复",IF(COUNTIF('笔记筛选'!$A$6:$A$35,E79)&lt;&gt;1,"笔记缺失或重复",IF(AND(K79="是",COUNTIF('证据索引'!$A$6:$A$105,F79)&lt;&gt;1),"证据缺失或重复",""))))</x:f>
      </x:c>
      <x:c r="AA79" s="16" t="str">
        <x:f>IF(A79="","",IF(AND(C79="研究",T79=1),D79,""))</x:f>
      </x:c>
    </x:row>
    <x:row r="80" ht="36" customHeight="1">
      <x:c r="A80" s="11"/>
      <x:c r="B80" s="11"/>
      <x:c r="C80" s="11"/>
      <x:c r="D80" s="11"/>
      <x:c r="E80" s="11"/>
      <x:c r="F80" s="11"/>
      <x:c r="G80" s="17"/>
      <x:c r="H80" s="11"/>
      <x:c r="I80" s="11"/>
      <x:c r="J80" s="11"/>
      <x:c r="K80" s="11"/>
      <x:c r="L80" s="11"/>
      <x:c r="M80" s="11"/>
      <x:c r="N80" s="11"/>
      <x:c r="O80" s="11"/>
      <x:c r="P80" s="11"/>
      <x:c r="Q80" s="16" t="str">
        <x:f>IF(A80="","",IF(C80="研究",1,0))</x:f>
      </x:c>
      <x:c r="R80" s="16" t="str">
        <x:f>IF(OR(A80="",C80&lt;&gt;"研究",D80="",J80&lt;&gt;"已判定"),"",IF(COUNTIFS($D$6:D80,D80,$C$6:C80,"研究",$J$6:J80,"已判定")=1,1,0))</x:f>
      </x:c>
      <x:c r="S80" s="16" t="str">
        <x:f>IF(OR(A80="",C80&lt;&gt;"研究",D80="",J80&lt;&gt;"已判定"),"",IF(COUNTIFS($D$6:D80,D80,$B$6:B80,B80,$C$6:C80,"研究",$J$6:J80,"已判定")=1,1,0))</x:f>
      </x:c>
      <x:c r="T80" s="16" t="str">
        <x:f>IF(A80="","",IF(AND(D80&lt;&gt;"",J80="已判定",K80="是",L80="是",COUNTIF('笔记筛选'!$A$6:$A$35,E80)=1,COUNTIF('批次记录'!$A$6:$A$17,B80)=1,COUNTIF('证据索引'!$A$6:$A$105,F80)=1),IF(AND(INDEX('笔记筛选'!$O$6:$O$35,MATCH(E80,'笔记筛选'!$A$6:$A$35,0))=1,INDEX('证据索引'!$H$6:$H$105,MATCH(F80,'证据索引'!$A$6:$A$105,0))="可定位",INDEX('证据索引'!$F$6:$F$105,MATCH(F80,'证据索引'!$A$6:$A$105,0))="是",INDEX('证据索引'!$B$6:$B$105,MATCH(F80,'证据索引'!$A$6:$A$105,0))=E80),1,0),0))</x:f>
      </x:c>
      <x:c r="U80" s="16" t="str">
        <x:f>IF(R80="","",IF(AND(R80=1,COUNTIF($AA$6:$AA$205,D80)&gt;0),1,0))</x:f>
      </x:c>
      <x:c r="V80" s="16" t="str">
        <x:f>IF(R80="","",IF(AND(R80=1,COUNTIFS('问题评论关联'!$C$6:$C$205,D80,'问题评论关联'!$G$6:$G$205,1)&gt;0),1,0))</x:f>
      </x:c>
      <x:c r="W80" s="16" t="str">
        <x:f>IF(S80="","",IF(AND(S80=1,COUNTIFS('问题评论关联'!$C$6:$C$205,D80,'问题评论关联'!$G$6:$G$205,1)&gt;0),1,0))</x:f>
      </x:c>
      <x:c r="X80" s="16" t="str">
        <x:f>IF(A80="","",IF(AND(C80="研究",OR(D80="",J80&lt;&gt;"已判定")),1,0))</x:f>
      </x:c>
      <x:c r="Y80" s="16" t="str">
        <x:f>IF(A80="","",IF(COUNTIF('批次记录'!$A$6:$A$17,B80)&lt;&gt;1,"批次缺失或重复",IF(COUNTIF('笔记筛选'!$A$6:$A$35,E80)&lt;&gt;1,"笔记缺失或重复",IF(AND(K80="是",COUNTIF('证据索引'!$A$6:$A$105,F80)&lt;&gt;1),"证据缺失或重复",""))))</x:f>
      </x:c>
      <x:c r="AA80" s="16" t="str">
        <x:f>IF(A80="","",IF(AND(C80="研究",T80=1),D80,""))</x:f>
      </x:c>
    </x:row>
    <x:row r="81" ht="36" customHeight="1">
      <x:c r="A81" s="11"/>
      <x:c r="B81" s="11"/>
      <x:c r="C81" s="11"/>
      <x:c r="D81" s="11"/>
      <x:c r="E81" s="11"/>
      <x:c r="F81" s="11"/>
      <x:c r="G81" s="17"/>
      <x:c r="H81" s="11"/>
      <x:c r="I81" s="11"/>
      <x:c r="J81" s="11"/>
      <x:c r="K81" s="11"/>
      <x:c r="L81" s="11"/>
      <x:c r="M81" s="11"/>
      <x:c r="N81" s="11"/>
      <x:c r="O81" s="11"/>
      <x:c r="P81" s="11"/>
      <x:c r="Q81" s="16" t="str">
        <x:f>IF(A81="","",IF(C81="研究",1,0))</x:f>
      </x:c>
      <x:c r="R81" s="16" t="str">
        <x:f>IF(OR(A81="",C81&lt;&gt;"研究",D81="",J81&lt;&gt;"已判定"),"",IF(COUNTIFS($D$6:D81,D81,$C$6:C81,"研究",$J$6:J81,"已判定")=1,1,0))</x:f>
      </x:c>
      <x:c r="S81" s="16" t="str">
        <x:f>IF(OR(A81="",C81&lt;&gt;"研究",D81="",J81&lt;&gt;"已判定"),"",IF(COUNTIFS($D$6:D81,D81,$B$6:B81,B81,$C$6:C81,"研究",$J$6:J81,"已判定")=1,1,0))</x:f>
      </x:c>
      <x:c r="T81" s="16" t="str">
        <x:f>IF(A81="","",IF(AND(D81&lt;&gt;"",J81="已判定",K81="是",L81="是",COUNTIF('笔记筛选'!$A$6:$A$35,E81)=1,COUNTIF('批次记录'!$A$6:$A$17,B81)=1,COUNTIF('证据索引'!$A$6:$A$105,F81)=1),IF(AND(INDEX('笔记筛选'!$O$6:$O$35,MATCH(E81,'笔记筛选'!$A$6:$A$35,0))=1,INDEX('证据索引'!$H$6:$H$105,MATCH(F81,'证据索引'!$A$6:$A$105,0))="可定位",INDEX('证据索引'!$F$6:$F$105,MATCH(F81,'证据索引'!$A$6:$A$105,0))="是",INDEX('证据索引'!$B$6:$B$105,MATCH(F81,'证据索引'!$A$6:$A$105,0))=E81),1,0),0))</x:f>
      </x:c>
      <x:c r="U81" s="16" t="str">
        <x:f>IF(R81="","",IF(AND(R81=1,COUNTIF($AA$6:$AA$205,D81)&gt;0),1,0))</x:f>
      </x:c>
      <x:c r="V81" s="16" t="str">
        <x:f>IF(R81="","",IF(AND(R81=1,COUNTIFS('问题评论关联'!$C$6:$C$205,D81,'问题评论关联'!$G$6:$G$205,1)&gt;0),1,0))</x:f>
      </x:c>
      <x:c r="W81" s="16" t="str">
        <x:f>IF(S81="","",IF(AND(S81=1,COUNTIFS('问题评论关联'!$C$6:$C$205,D81,'问题评论关联'!$G$6:$G$205,1)&gt;0),1,0))</x:f>
      </x:c>
      <x:c r="X81" s="16" t="str">
        <x:f>IF(A81="","",IF(AND(C81="研究",OR(D81="",J81&lt;&gt;"已判定")),1,0))</x:f>
      </x:c>
      <x:c r="Y81" s="16" t="str">
        <x:f>IF(A81="","",IF(COUNTIF('批次记录'!$A$6:$A$17,B81)&lt;&gt;1,"批次缺失或重复",IF(COUNTIF('笔记筛选'!$A$6:$A$35,E81)&lt;&gt;1,"笔记缺失或重复",IF(AND(K81="是",COUNTIF('证据索引'!$A$6:$A$105,F81)&lt;&gt;1),"证据缺失或重复",""))))</x:f>
      </x:c>
      <x:c r="AA81" s="16" t="str">
        <x:f>IF(A81="","",IF(AND(C81="研究",T81=1),D81,""))</x:f>
      </x:c>
    </x:row>
    <x:row r="82" ht="36" customHeight="1">
      <x:c r="A82" s="11"/>
      <x:c r="B82" s="11"/>
      <x:c r="C82" s="11"/>
      <x:c r="D82" s="11"/>
      <x:c r="E82" s="11"/>
      <x:c r="F82" s="11"/>
      <x:c r="G82" s="17"/>
      <x:c r="H82" s="11"/>
      <x:c r="I82" s="11"/>
      <x:c r="J82" s="11"/>
      <x:c r="K82" s="11"/>
      <x:c r="L82" s="11"/>
      <x:c r="M82" s="11"/>
      <x:c r="N82" s="11"/>
      <x:c r="O82" s="11"/>
      <x:c r="P82" s="11"/>
      <x:c r="Q82" s="16" t="str">
        <x:f>IF(A82="","",IF(C82="研究",1,0))</x:f>
      </x:c>
      <x:c r="R82" s="16" t="str">
        <x:f>IF(OR(A82="",C82&lt;&gt;"研究",D82="",J82&lt;&gt;"已判定"),"",IF(COUNTIFS($D$6:D82,D82,$C$6:C82,"研究",$J$6:J82,"已判定")=1,1,0))</x:f>
      </x:c>
      <x:c r="S82" s="16" t="str">
        <x:f>IF(OR(A82="",C82&lt;&gt;"研究",D82="",J82&lt;&gt;"已判定"),"",IF(COUNTIFS($D$6:D82,D82,$B$6:B82,B82,$C$6:C82,"研究",$J$6:J82,"已判定")=1,1,0))</x:f>
      </x:c>
      <x:c r="T82" s="16" t="str">
        <x:f>IF(A82="","",IF(AND(D82&lt;&gt;"",J82="已判定",K82="是",L82="是",COUNTIF('笔记筛选'!$A$6:$A$35,E82)=1,COUNTIF('批次记录'!$A$6:$A$17,B82)=1,COUNTIF('证据索引'!$A$6:$A$105,F82)=1),IF(AND(INDEX('笔记筛选'!$O$6:$O$35,MATCH(E82,'笔记筛选'!$A$6:$A$35,0))=1,INDEX('证据索引'!$H$6:$H$105,MATCH(F82,'证据索引'!$A$6:$A$105,0))="可定位",INDEX('证据索引'!$F$6:$F$105,MATCH(F82,'证据索引'!$A$6:$A$105,0))="是",INDEX('证据索引'!$B$6:$B$105,MATCH(F82,'证据索引'!$A$6:$A$105,0))=E82),1,0),0))</x:f>
      </x:c>
      <x:c r="U82" s="16" t="str">
        <x:f>IF(R82="","",IF(AND(R82=1,COUNTIF($AA$6:$AA$205,D82)&gt;0),1,0))</x:f>
      </x:c>
      <x:c r="V82" s="16" t="str">
        <x:f>IF(R82="","",IF(AND(R82=1,COUNTIFS('问题评论关联'!$C$6:$C$205,D82,'问题评论关联'!$G$6:$G$205,1)&gt;0),1,0))</x:f>
      </x:c>
      <x:c r="W82" s="16" t="str">
        <x:f>IF(S82="","",IF(AND(S82=1,COUNTIFS('问题评论关联'!$C$6:$C$205,D82,'问题评论关联'!$G$6:$G$205,1)&gt;0),1,0))</x:f>
      </x:c>
      <x:c r="X82" s="16" t="str">
        <x:f>IF(A82="","",IF(AND(C82="研究",OR(D82="",J82&lt;&gt;"已判定")),1,0))</x:f>
      </x:c>
      <x:c r="Y82" s="16" t="str">
        <x:f>IF(A82="","",IF(COUNTIF('批次记录'!$A$6:$A$17,B82)&lt;&gt;1,"批次缺失或重复",IF(COUNTIF('笔记筛选'!$A$6:$A$35,E82)&lt;&gt;1,"笔记缺失或重复",IF(AND(K82="是",COUNTIF('证据索引'!$A$6:$A$105,F82)&lt;&gt;1),"证据缺失或重复",""))))</x:f>
      </x:c>
      <x:c r="AA82" s="16" t="str">
        <x:f>IF(A82="","",IF(AND(C82="研究",T82=1),D82,""))</x:f>
      </x:c>
    </x:row>
    <x:row r="83" ht="36" customHeight="1">
      <x:c r="A83" s="11"/>
      <x:c r="B83" s="11"/>
      <x:c r="C83" s="11"/>
      <x:c r="D83" s="11"/>
      <x:c r="E83" s="11"/>
      <x:c r="F83" s="11"/>
      <x:c r="G83" s="17"/>
      <x:c r="H83" s="11"/>
      <x:c r="I83" s="11"/>
      <x:c r="J83" s="11"/>
      <x:c r="K83" s="11"/>
      <x:c r="L83" s="11"/>
      <x:c r="M83" s="11"/>
      <x:c r="N83" s="11"/>
      <x:c r="O83" s="11"/>
      <x:c r="P83" s="11"/>
      <x:c r="Q83" s="16" t="str">
        <x:f>IF(A83="","",IF(C83="研究",1,0))</x:f>
      </x:c>
      <x:c r="R83" s="16" t="str">
        <x:f>IF(OR(A83="",C83&lt;&gt;"研究",D83="",J83&lt;&gt;"已判定"),"",IF(COUNTIFS($D$6:D83,D83,$C$6:C83,"研究",$J$6:J83,"已判定")=1,1,0))</x:f>
      </x:c>
      <x:c r="S83" s="16" t="str">
        <x:f>IF(OR(A83="",C83&lt;&gt;"研究",D83="",J83&lt;&gt;"已判定"),"",IF(COUNTIFS($D$6:D83,D83,$B$6:B83,B83,$C$6:C83,"研究",$J$6:J83,"已判定")=1,1,0))</x:f>
      </x:c>
      <x:c r="T83" s="16" t="str">
        <x:f>IF(A83="","",IF(AND(D83&lt;&gt;"",J83="已判定",K83="是",L83="是",COUNTIF('笔记筛选'!$A$6:$A$35,E83)=1,COUNTIF('批次记录'!$A$6:$A$17,B83)=1,COUNTIF('证据索引'!$A$6:$A$105,F83)=1),IF(AND(INDEX('笔记筛选'!$O$6:$O$35,MATCH(E83,'笔记筛选'!$A$6:$A$35,0))=1,INDEX('证据索引'!$H$6:$H$105,MATCH(F83,'证据索引'!$A$6:$A$105,0))="可定位",INDEX('证据索引'!$F$6:$F$105,MATCH(F83,'证据索引'!$A$6:$A$105,0))="是",INDEX('证据索引'!$B$6:$B$105,MATCH(F83,'证据索引'!$A$6:$A$105,0))=E83),1,0),0))</x:f>
      </x:c>
      <x:c r="U83" s="16" t="str">
        <x:f>IF(R83="","",IF(AND(R83=1,COUNTIF($AA$6:$AA$205,D83)&gt;0),1,0))</x:f>
      </x:c>
      <x:c r="V83" s="16" t="str">
        <x:f>IF(R83="","",IF(AND(R83=1,COUNTIFS('问题评论关联'!$C$6:$C$205,D83,'问题评论关联'!$G$6:$G$205,1)&gt;0),1,0))</x:f>
      </x:c>
      <x:c r="W83" s="16" t="str">
        <x:f>IF(S83="","",IF(AND(S83=1,COUNTIFS('问题评论关联'!$C$6:$C$205,D83,'问题评论关联'!$G$6:$G$205,1)&gt;0),1,0))</x:f>
      </x:c>
      <x:c r="X83" s="16" t="str">
        <x:f>IF(A83="","",IF(AND(C83="研究",OR(D83="",J83&lt;&gt;"已判定")),1,0))</x:f>
      </x:c>
      <x:c r="Y83" s="16" t="str">
        <x:f>IF(A83="","",IF(COUNTIF('批次记录'!$A$6:$A$17,B83)&lt;&gt;1,"批次缺失或重复",IF(COUNTIF('笔记筛选'!$A$6:$A$35,E83)&lt;&gt;1,"笔记缺失或重复",IF(AND(K83="是",COUNTIF('证据索引'!$A$6:$A$105,F83)&lt;&gt;1),"证据缺失或重复",""))))</x:f>
      </x:c>
      <x:c r="AA83" s="16" t="str">
        <x:f>IF(A83="","",IF(AND(C83="研究",T83=1),D83,""))</x:f>
      </x:c>
    </x:row>
    <x:row r="84" ht="36" customHeight="1">
      <x:c r="A84" s="11"/>
      <x:c r="B84" s="11"/>
      <x:c r="C84" s="11"/>
      <x:c r="D84" s="11"/>
      <x:c r="E84" s="11"/>
      <x:c r="F84" s="11"/>
      <x:c r="G84" s="17"/>
      <x:c r="H84" s="11"/>
      <x:c r="I84" s="11"/>
      <x:c r="J84" s="11"/>
      <x:c r="K84" s="11"/>
      <x:c r="L84" s="11"/>
      <x:c r="M84" s="11"/>
      <x:c r="N84" s="11"/>
      <x:c r="O84" s="11"/>
      <x:c r="P84" s="11"/>
      <x:c r="Q84" s="16" t="str">
        <x:f>IF(A84="","",IF(C84="研究",1,0))</x:f>
      </x:c>
      <x:c r="R84" s="16" t="str">
        <x:f>IF(OR(A84="",C84&lt;&gt;"研究",D84="",J84&lt;&gt;"已判定"),"",IF(COUNTIFS($D$6:D84,D84,$C$6:C84,"研究",$J$6:J84,"已判定")=1,1,0))</x:f>
      </x:c>
      <x:c r="S84" s="16" t="str">
        <x:f>IF(OR(A84="",C84&lt;&gt;"研究",D84="",J84&lt;&gt;"已判定"),"",IF(COUNTIFS($D$6:D84,D84,$B$6:B84,B84,$C$6:C84,"研究",$J$6:J84,"已判定")=1,1,0))</x:f>
      </x:c>
      <x:c r="T84" s="16" t="str">
        <x:f>IF(A84="","",IF(AND(D84&lt;&gt;"",J84="已判定",K84="是",L84="是",COUNTIF('笔记筛选'!$A$6:$A$35,E84)=1,COUNTIF('批次记录'!$A$6:$A$17,B84)=1,COUNTIF('证据索引'!$A$6:$A$105,F84)=1),IF(AND(INDEX('笔记筛选'!$O$6:$O$35,MATCH(E84,'笔记筛选'!$A$6:$A$35,0))=1,INDEX('证据索引'!$H$6:$H$105,MATCH(F84,'证据索引'!$A$6:$A$105,0))="可定位",INDEX('证据索引'!$F$6:$F$105,MATCH(F84,'证据索引'!$A$6:$A$105,0))="是",INDEX('证据索引'!$B$6:$B$105,MATCH(F84,'证据索引'!$A$6:$A$105,0))=E84),1,0),0))</x:f>
      </x:c>
      <x:c r="U84" s="16" t="str">
        <x:f>IF(R84="","",IF(AND(R84=1,COUNTIF($AA$6:$AA$205,D84)&gt;0),1,0))</x:f>
      </x:c>
      <x:c r="V84" s="16" t="str">
        <x:f>IF(R84="","",IF(AND(R84=1,COUNTIFS('问题评论关联'!$C$6:$C$205,D84,'问题评论关联'!$G$6:$G$205,1)&gt;0),1,0))</x:f>
      </x:c>
      <x:c r="W84" s="16" t="str">
        <x:f>IF(S84="","",IF(AND(S84=1,COUNTIFS('问题评论关联'!$C$6:$C$205,D84,'问题评论关联'!$G$6:$G$205,1)&gt;0),1,0))</x:f>
      </x:c>
      <x:c r="X84" s="16" t="str">
        <x:f>IF(A84="","",IF(AND(C84="研究",OR(D84="",J84&lt;&gt;"已判定")),1,0))</x:f>
      </x:c>
      <x:c r="Y84" s="16" t="str">
        <x:f>IF(A84="","",IF(COUNTIF('批次记录'!$A$6:$A$17,B84)&lt;&gt;1,"批次缺失或重复",IF(COUNTIF('笔记筛选'!$A$6:$A$35,E84)&lt;&gt;1,"笔记缺失或重复",IF(AND(K84="是",COUNTIF('证据索引'!$A$6:$A$105,F84)&lt;&gt;1),"证据缺失或重复",""))))</x:f>
      </x:c>
      <x:c r="AA84" s="16" t="str">
        <x:f>IF(A84="","",IF(AND(C84="研究",T84=1),D84,""))</x:f>
      </x:c>
    </x:row>
    <x:row r="85" ht="36" customHeight="1">
      <x:c r="A85" s="11"/>
      <x:c r="B85" s="11"/>
      <x:c r="C85" s="11"/>
      <x:c r="D85" s="11"/>
      <x:c r="E85" s="11"/>
      <x:c r="F85" s="11"/>
      <x:c r="G85" s="17"/>
      <x:c r="H85" s="11"/>
      <x:c r="I85" s="11"/>
      <x:c r="J85" s="11"/>
      <x:c r="K85" s="11"/>
      <x:c r="L85" s="11"/>
      <x:c r="M85" s="11"/>
      <x:c r="N85" s="11"/>
      <x:c r="O85" s="11"/>
      <x:c r="P85" s="11"/>
      <x:c r="Q85" s="16" t="str">
        <x:f>IF(A85="","",IF(C85="研究",1,0))</x:f>
      </x:c>
      <x:c r="R85" s="16" t="str">
        <x:f>IF(OR(A85="",C85&lt;&gt;"研究",D85="",J85&lt;&gt;"已判定"),"",IF(COUNTIFS($D$6:D85,D85,$C$6:C85,"研究",$J$6:J85,"已判定")=1,1,0))</x:f>
      </x:c>
      <x:c r="S85" s="16" t="str">
        <x:f>IF(OR(A85="",C85&lt;&gt;"研究",D85="",J85&lt;&gt;"已判定"),"",IF(COUNTIFS($D$6:D85,D85,$B$6:B85,B85,$C$6:C85,"研究",$J$6:J85,"已判定")=1,1,0))</x:f>
      </x:c>
      <x:c r="T85" s="16" t="str">
        <x:f>IF(A85="","",IF(AND(D85&lt;&gt;"",J85="已判定",K85="是",L85="是",COUNTIF('笔记筛选'!$A$6:$A$35,E85)=1,COUNTIF('批次记录'!$A$6:$A$17,B85)=1,COUNTIF('证据索引'!$A$6:$A$105,F85)=1),IF(AND(INDEX('笔记筛选'!$O$6:$O$35,MATCH(E85,'笔记筛选'!$A$6:$A$35,0))=1,INDEX('证据索引'!$H$6:$H$105,MATCH(F85,'证据索引'!$A$6:$A$105,0))="可定位",INDEX('证据索引'!$F$6:$F$105,MATCH(F85,'证据索引'!$A$6:$A$105,0))="是",INDEX('证据索引'!$B$6:$B$105,MATCH(F85,'证据索引'!$A$6:$A$105,0))=E85),1,0),0))</x:f>
      </x:c>
      <x:c r="U85" s="16" t="str">
        <x:f>IF(R85="","",IF(AND(R85=1,COUNTIF($AA$6:$AA$205,D85)&gt;0),1,0))</x:f>
      </x:c>
      <x:c r="V85" s="16" t="str">
        <x:f>IF(R85="","",IF(AND(R85=1,COUNTIFS('问题评论关联'!$C$6:$C$205,D85,'问题评论关联'!$G$6:$G$205,1)&gt;0),1,0))</x:f>
      </x:c>
      <x:c r="W85" s="16" t="str">
        <x:f>IF(S85="","",IF(AND(S85=1,COUNTIFS('问题评论关联'!$C$6:$C$205,D85,'问题评论关联'!$G$6:$G$205,1)&gt;0),1,0))</x:f>
      </x:c>
      <x:c r="X85" s="16" t="str">
        <x:f>IF(A85="","",IF(AND(C85="研究",OR(D85="",J85&lt;&gt;"已判定")),1,0))</x:f>
      </x:c>
      <x:c r="Y85" s="16" t="str">
        <x:f>IF(A85="","",IF(COUNTIF('批次记录'!$A$6:$A$17,B85)&lt;&gt;1,"批次缺失或重复",IF(COUNTIF('笔记筛选'!$A$6:$A$35,E85)&lt;&gt;1,"笔记缺失或重复",IF(AND(K85="是",COUNTIF('证据索引'!$A$6:$A$105,F85)&lt;&gt;1),"证据缺失或重复",""))))</x:f>
      </x:c>
      <x:c r="AA85" s="16" t="str">
        <x:f>IF(A85="","",IF(AND(C85="研究",T85=1),D85,""))</x:f>
      </x:c>
    </x:row>
    <x:row r="86" ht="36" customHeight="1">
      <x:c r="A86" s="11"/>
      <x:c r="B86" s="11"/>
      <x:c r="C86" s="11"/>
      <x:c r="D86" s="11"/>
      <x:c r="E86" s="11"/>
      <x:c r="F86" s="11"/>
      <x:c r="G86" s="17"/>
      <x:c r="H86" s="11"/>
      <x:c r="I86" s="11"/>
      <x:c r="J86" s="11"/>
      <x:c r="K86" s="11"/>
      <x:c r="L86" s="11"/>
      <x:c r="M86" s="11"/>
      <x:c r="N86" s="11"/>
      <x:c r="O86" s="11"/>
      <x:c r="P86" s="11"/>
      <x:c r="Q86" s="16" t="str">
        <x:f>IF(A86="","",IF(C86="研究",1,0))</x:f>
      </x:c>
      <x:c r="R86" s="16" t="str">
        <x:f>IF(OR(A86="",C86&lt;&gt;"研究",D86="",J86&lt;&gt;"已判定"),"",IF(COUNTIFS($D$6:D86,D86,$C$6:C86,"研究",$J$6:J86,"已判定")=1,1,0))</x:f>
      </x:c>
      <x:c r="S86" s="16" t="str">
        <x:f>IF(OR(A86="",C86&lt;&gt;"研究",D86="",J86&lt;&gt;"已判定"),"",IF(COUNTIFS($D$6:D86,D86,$B$6:B86,B86,$C$6:C86,"研究",$J$6:J86,"已判定")=1,1,0))</x:f>
      </x:c>
      <x:c r="T86" s="16" t="str">
        <x:f>IF(A86="","",IF(AND(D86&lt;&gt;"",J86="已判定",K86="是",L86="是",COUNTIF('笔记筛选'!$A$6:$A$35,E86)=1,COUNTIF('批次记录'!$A$6:$A$17,B86)=1,COUNTIF('证据索引'!$A$6:$A$105,F86)=1),IF(AND(INDEX('笔记筛选'!$O$6:$O$35,MATCH(E86,'笔记筛选'!$A$6:$A$35,0))=1,INDEX('证据索引'!$H$6:$H$105,MATCH(F86,'证据索引'!$A$6:$A$105,0))="可定位",INDEX('证据索引'!$F$6:$F$105,MATCH(F86,'证据索引'!$A$6:$A$105,0))="是",INDEX('证据索引'!$B$6:$B$105,MATCH(F86,'证据索引'!$A$6:$A$105,0))=E86),1,0),0))</x:f>
      </x:c>
      <x:c r="U86" s="16" t="str">
        <x:f>IF(R86="","",IF(AND(R86=1,COUNTIF($AA$6:$AA$205,D86)&gt;0),1,0))</x:f>
      </x:c>
      <x:c r="V86" s="16" t="str">
        <x:f>IF(R86="","",IF(AND(R86=1,COUNTIFS('问题评论关联'!$C$6:$C$205,D86,'问题评论关联'!$G$6:$G$205,1)&gt;0),1,0))</x:f>
      </x:c>
      <x:c r="W86" s="16" t="str">
        <x:f>IF(S86="","",IF(AND(S86=1,COUNTIFS('问题评论关联'!$C$6:$C$205,D86,'问题评论关联'!$G$6:$G$205,1)&gt;0),1,0))</x:f>
      </x:c>
      <x:c r="X86" s="16" t="str">
        <x:f>IF(A86="","",IF(AND(C86="研究",OR(D86="",J86&lt;&gt;"已判定")),1,0))</x:f>
      </x:c>
      <x:c r="Y86" s="16" t="str">
        <x:f>IF(A86="","",IF(COUNTIF('批次记录'!$A$6:$A$17,B86)&lt;&gt;1,"批次缺失或重复",IF(COUNTIF('笔记筛选'!$A$6:$A$35,E86)&lt;&gt;1,"笔记缺失或重复",IF(AND(K86="是",COUNTIF('证据索引'!$A$6:$A$105,F86)&lt;&gt;1),"证据缺失或重复",""))))</x:f>
      </x:c>
      <x:c r="AA86" s="16" t="str">
        <x:f>IF(A86="","",IF(AND(C86="研究",T86=1),D86,""))</x:f>
      </x:c>
    </x:row>
    <x:row r="87" ht="36" customHeight="1">
      <x:c r="A87" s="11"/>
      <x:c r="B87" s="11"/>
      <x:c r="C87" s="11"/>
      <x:c r="D87" s="11"/>
      <x:c r="E87" s="11"/>
      <x:c r="F87" s="11"/>
      <x:c r="G87" s="17"/>
      <x:c r="H87" s="11"/>
      <x:c r="I87" s="11"/>
      <x:c r="J87" s="11"/>
      <x:c r="K87" s="11"/>
      <x:c r="L87" s="11"/>
      <x:c r="M87" s="11"/>
      <x:c r="N87" s="11"/>
      <x:c r="O87" s="11"/>
      <x:c r="P87" s="11"/>
      <x:c r="Q87" s="16" t="str">
        <x:f>IF(A87="","",IF(C87="研究",1,0))</x:f>
      </x:c>
      <x:c r="R87" s="16" t="str">
        <x:f>IF(OR(A87="",C87&lt;&gt;"研究",D87="",J87&lt;&gt;"已判定"),"",IF(COUNTIFS($D$6:D87,D87,$C$6:C87,"研究",$J$6:J87,"已判定")=1,1,0))</x:f>
      </x:c>
      <x:c r="S87" s="16" t="str">
        <x:f>IF(OR(A87="",C87&lt;&gt;"研究",D87="",J87&lt;&gt;"已判定"),"",IF(COUNTIFS($D$6:D87,D87,$B$6:B87,B87,$C$6:C87,"研究",$J$6:J87,"已判定")=1,1,0))</x:f>
      </x:c>
      <x:c r="T87" s="16" t="str">
        <x:f>IF(A87="","",IF(AND(D87&lt;&gt;"",J87="已判定",K87="是",L87="是",COUNTIF('笔记筛选'!$A$6:$A$35,E87)=1,COUNTIF('批次记录'!$A$6:$A$17,B87)=1,COUNTIF('证据索引'!$A$6:$A$105,F87)=1),IF(AND(INDEX('笔记筛选'!$O$6:$O$35,MATCH(E87,'笔记筛选'!$A$6:$A$35,0))=1,INDEX('证据索引'!$H$6:$H$105,MATCH(F87,'证据索引'!$A$6:$A$105,0))="可定位",INDEX('证据索引'!$F$6:$F$105,MATCH(F87,'证据索引'!$A$6:$A$105,0))="是",INDEX('证据索引'!$B$6:$B$105,MATCH(F87,'证据索引'!$A$6:$A$105,0))=E87),1,0),0))</x:f>
      </x:c>
      <x:c r="U87" s="16" t="str">
        <x:f>IF(R87="","",IF(AND(R87=1,COUNTIF($AA$6:$AA$205,D87)&gt;0),1,0))</x:f>
      </x:c>
      <x:c r="V87" s="16" t="str">
        <x:f>IF(R87="","",IF(AND(R87=1,COUNTIFS('问题评论关联'!$C$6:$C$205,D87,'问题评论关联'!$G$6:$G$205,1)&gt;0),1,0))</x:f>
      </x:c>
      <x:c r="W87" s="16" t="str">
        <x:f>IF(S87="","",IF(AND(S87=1,COUNTIFS('问题评论关联'!$C$6:$C$205,D87,'问题评论关联'!$G$6:$G$205,1)&gt;0),1,0))</x:f>
      </x:c>
      <x:c r="X87" s="16" t="str">
        <x:f>IF(A87="","",IF(AND(C87="研究",OR(D87="",J87&lt;&gt;"已判定")),1,0))</x:f>
      </x:c>
      <x:c r="Y87" s="16" t="str">
        <x:f>IF(A87="","",IF(COUNTIF('批次记录'!$A$6:$A$17,B87)&lt;&gt;1,"批次缺失或重复",IF(COUNTIF('笔记筛选'!$A$6:$A$35,E87)&lt;&gt;1,"笔记缺失或重复",IF(AND(K87="是",COUNTIF('证据索引'!$A$6:$A$105,F87)&lt;&gt;1),"证据缺失或重复",""))))</x:f>
      </x:c>
      <x:c r="AA87" s="16" t="str">
        <x:f>IF(A87="","",IF(AND(C87="研究",T87=1),D87,""))</x:f>
      </x:c>
    </x:row>
    <x:row r="88" ht="36" customHeight="1">
      <x:c r="A88" s="11"/>
      <x:c r="B88" s="11"/>
      <x:c r="C88" s="11"/>
      <x:c r="D88" s="11"/>
      <x:c r="E88" s="11"/>
      <x:c r="F88" s="11"/>
      <x:c r="G88" s="17"/>
      <x:c r="H88" s="11"/>
      <x:c r="I88" s="11"/>
      <x:c r="J88" s="11"/>
      <x:c r="K88" s="11"/>
      <x:c r="L88" s="11"/>
      <x:c r="M88" s="11"/>
      <x:c r="N88" s="11"/>
      <x:c r="O88" s="11"/>
      <x:c r="P88" s="11"/>
      <x:c r="Q88" s="16" t="str">
        <x:f>IF(A88="","",IF(C88="研究",1,0))</x:f>
      </x:c>
      <x:c r="R88" s="16" t="str">
        <x:f>IF(OR(A88="",C88&lt;&gt;"研究",D88="",J88&lt;&gt;"已判定"),"",IF(COUNTIFS($D$6:D88,D88,$C$6:C88,"研究",$J$6:J88,"已判定")=1,1,0))</x:f>
      </x:c>
      <x:c r="S88" s="16" t="str">
        <x:f>IF(OR(A88="",C88&lt;&gt;"研究",D88="",J88&lt;&gt;"已判定"),"",IF(COUNTIFS($D$6:D88,D88,$B$6:B88,B88,$C$6:C88,"研究",$J$6:J88,"已判定")=1,1,0))</x:f>
      </x:c>
      <x:c r="T88" s="16" t="str">
        <x:f>IF(A88="","",IF(AND(D88&lt;&gt;"",J88="已判定",K88="是",L88="是",COUNTIF('笔记筛选'!$A$6:$A$35,E88)=1,COUNTIF('批次记录'!$A$6:$A$17,B88)=1,COUNTIF('证据索引'!$A$6:$A$105,F88)=1),IF(AND(INDEX('笔记筛选'!$O$6:$O$35,MATCH(E88,'笔记筛选'!$A$6:$A$35,0))=1,INDEX('证据索引'!$H$6:$H$105,MATCH(F88,'证据索引'!$A$6:$A$105,0))="可定位",INDEX('证据索引'!$F$6:$F$105,MATCH(F88,'证据索引'!$A$6:$A$105,0))="是",INDEX('证据索引'!$B$6:$B$105,MATCH(F88,'证据索引'!$A$6:$A$105,0))=E88),1,0),0))</x:f>
      </x:c>
      <x:c r="U88" s="16" t="str">
        <x:f>IF(R88="","",IF(AND(R88=1,COUNTIF($AA$6:$AA$205,D88)&gt;0),1,0))</x:f>
      </x:c>
      <x:c r="V88" s="16" t="str">
        <x:f>IF(R88="","",IF(AND(R88=1,COUNTIFS('问题评论关联'!$C$6:$C$205,D88,'问题评论关联'!$G$6:$G$205,1)&gt;0),1,0))</x:f>
      </x:c>
      <x:c r="W88" s="16" t="str">
        <x:f>IF(S88="","",IF(AND(S88=1,COUNTIFS('问题评论关联'!$C$6:$C$205,D88,'问题评论关联'!$G$6:$G$205,1)&gt;0),1,0))</x:f>
      </x:c>
      <x:c r="X88" s="16" t="str">
        <x:f>IF(A88="","",IF(AND(C88="研究",OR(D88="",J88&lt;&gt;"已判定")),1,0))</x:f>
      </x:c>
      <x:c r="Y88" s="16" t="str">
        <x:f>IF(A88="","",IF(COUNTIF('批次记录'!$A$6:$A$17,B88)&lt;&gt;1,"批次缺失或重复",IF(COUNTIF('笔记筛选'!$A$6:$A$35,E88)&lt;&gt;1,"笔记缺失或重复",IF(AND(K88="是",COUNTIF('证据索引'!$A$6:$A$105,F88)&lt;&gt;1),"证据缺失或重复",""))))</x:f>
      </x:c>
      <x:c r="AA88" s="16" t="str">
        <x:f>IF(A88="","",IF(AND(C88="研究",T88=1),D88,""))</x:f>
      </x:c>
    </x:row>
    <x:row r="89" ht="36" customHeight="1">
      <x:c r="A89" s="11"/>
      <x:c r="B89" s="11"/>
      <x:c r="C89" s="11"/>
      <x:c r="D89" s="11"/>
      <x:c r="E89" s="11"/>
      <x:c r="F89" s="11"/>
      <x:c r="G89" s="17"/>
      <x:c r="H89" s="11"/>
      <x:c r="I89" s="11"/>
      <x:c r="J89" s="11"/>
      <x:c r="K89" s="11"/>
      <x:c r="L89" s="11"/>
      <x:c r="M89" s="11"/>
      <x:c r="N89" s="11"/>
      <x:c r="O89" s="11"/>
      <x:c r="P89" s="11"/>
      <x:c r="Q89" s="16" t="str">
        <x:f>IF(A89="","",IF(C89="研究",1,0))</x:f>
      </x:c>
      <x:c r="R89" s="16" t="str">
        <x:f>IF(OR(A89="",C89&lt;&gt;"研究",D89="",J89&lt;&gt;"已判定"),"",IF(COUNTIFS($D$6:D89,D89,$C$6:C89,"研究",$J$6:J89,"已判定")=1,1,0))</x:f>
      </x:c>
      <x:c r="S89" s="16" t="str">
        <x:f>IF(OR(A89="",C89&lt;&gt;"研究",D89="",J89&lt;&gt;"已判定"),"",IF(COUNTIFS($D$6:D89,D89,$B$6:B89,B89,$C$6:C89,"研究",$J$6:J89,"已判定")=1,1,0))</x:f>
      </x:c>
      <x:c r="T89" s="16" t="str">
        <x:f>IF(A89="","",IF(AND(D89&lt;&gt;"",J89="已判定",K89="是",L89="是",COUNTIF('笔记筛选'!$A$6:$A$35,E89)=1,COUNTIF('批次记录'!$A$6:$A$17,B89)=1,COUNTIF('证据索引'!$A$6:$A$105,F89)=1),IF(AND(INDEX('笔记筛选'!$O$6:$O$35,MATCH(E89,'笔记筛选'!$A$6:$A$35,0))=1,INDEX('证据索引'!$H$6:$H$105,MATCH(F89,'证据索引'!$A$6:$A$105,0))="可定位",INDEX('证据索引'!$F$6:$F$105,MATCH(F89,'证据索引'!$A$6:$A$105,0))="是",INDEX('证据索引'!$B$6:$B$105,MATCH(F89,'证据索引'!$A$6:$A$105,0))=E89),1,0),0))</x:f>
      </x:c>
      <x:c r="U89" s="16" t="str">
        <x:f>IF(R89="","",IF(AND(R89=1,COUNTIF($AA$6:$AA$205,D89)&gt;0),1,0))</x:f>
      </x:c>
      <x:c r="V89" s="16" t="str">
        <x:f>IF(R89="","",IF(AND(R89=1,COUNTIFS('问题评论关联'!$C$6:$C$205,D89,'问题评论关联'!$G$6:$G$205,1)&gt;0),1,0))</x:f>
      </x:c>
      <x:c r="W89" s="16" t="str">
        <x:f>IF(S89="","",IF(AND(S89=1,COUNTIFS('问题评论关联'!$C$6:$C$205,D89,'问题评论关联'!$G$6:$G$205,1)&gt;0),1,0))</x:f>
      </x:c>
      <x:c r="X89" s="16" t="str">
        <x:f>IF(A89="","",IF(AND(C89="研究",OR(D89="",J89&lt;&gt;"已判定")),1,0))</x:f>
      </x:c>
      <x:c r="Y89" s="16" t="str">
        <x:f>IF(A89="","",IF(COUNTIF('批次记录'!$A$6:$A$17,B89)&lt;&gt;1,"批次缺失或重复",IF(COUNTIF('笔记筛选'!$A$6:$A$35,E89)&lt;&gt;1,"笔记缺失或重复",IF(AND(K89="是",COUNTIF('证据索引'!$A$6:$A$105,F89)&lt;&gt;1),"证据缺失或重复",""))))</x:f>
      </x:c>
      <x:c r="AA89" s="16" t="str">
        <x:f>IF(A89="","",IF(AND(C89="研究",T89=1),D89,""))</x:f>
      </x:c>
    </x:row>
    <x:row r="90" ht="36" customHeight="1">
      <x:c r="A90" s="11"/>
      <x:c r="B90" s="11"/>
      <x:c r="C90" s="11"/>
      <x:c r="D90" s="11"/>
      <x:c r="E90" s="11"/>
      <x:c r="F90" s="11"/>
      <x:c r="G90" s="17"/>
      <x:c r="H90" s="11"/>
      <x:c r="I90" s="11"/>
      <x:c r="J90" s="11"/>
      <x:c r="K90" s="11"/>
      <x:c r="L90" s="11"/>
      <x:c r="M90" s="11"/>
      <x:c r="N90" s="11"/>
      <x:c r="O90" s="11"/>
      <x:c r="P90" s="11"/>
      <x:c r="Q90" s="16" t="str">
        <x:f>IF(A90="","",IF(C90="研究",1,0))</x:f>
      </x:c>
      <x:c r="R90" s="16" t="str">
        <x:f>IF(OR(A90="",C90&lt;&gt;"研究",D90="",J90&lt;&gt;"已判定"),"",IF(COUNTIFS($D$6:D90,D90,$C$6:C90,"研究",$J$6:J90,"已判定")=1,1,0))</x:f>
      </x:c>
      <x:c r="S90" s="16" t="str">
        <x:f>IF(OR(A90="",C90&lt;&gt;"研究",D90="",J90&lt;&gt;"已判定"),"",IF(COUNTIFS($D$6:D90,D90,$B$6:B90,B90,$C$6:C90,"研究",$J$6:J90,"已判定")=1,1,0))</x:f>
      </x:c>
      <x:c r="T90" s="16" t="str">
        <x:f>IF(A90="","",IF(AND(D90&lt;&gt;"",J90="已判定",K90="是",L90="是",COUNTIF('笔记筛选'!$A$6:$A$35,E90)=1,COUNTIF('批次记录'!$A$6:$A$17,B90)=1,COUNTIF('证据索引'!$A$6:$A$105,F90)=1),IF(AND(INDEX('笔记筛选'!$O$6:$O$35,MATCH(E90,'笔记筛选'!$A$6:$A$35,0))=1,INDEX('证据索引'!$H$6:$H$105,MATCH(F90,'证据索引'!$A$6:$A$105,0))="可定位",INDEX('证据索引'!$F$6:$F$105,MATCH(F90,'证据索引'!$A$6:$A$105,0))="是",INDEX('证据索引'!$B$6:$B$105,MATCH(F90,'证据索引'!$A$6:$A$105,0))=E90),1,0),0))</x:f>
      </x:c>
      <x:c r="U90" s="16" t="str">
        <x:f>IF(R90="","",IF(AND(R90=1,COUNTIF($AA$6:$AA$205,D90)&gt;0),1,0))</x:f>
      </x:c>
      <x:c r="V90" s="16" t="str">
        <x:f>IF(R90="","",IF(AND(R90=1,COUNTIFS('问题评论关联'!$C$6:$C$205,D90,'问题评论关联'!$G$6:$G$205,1)&gt;0),1,0))</x:f>
      </x:c>
      <x:c r="W90" s="16" t="str">
        <x:f>IF(S90="","",IF(AND(S90=1,COUNTIFS('问题评论关联'!$C$6:$C$205,D90,'问题评论关联'!$G$6:$G$205,1)&gt;0),1,0))</x:f>
      </x:c>
      <x:c r="X90" s="16" t="str">
        <x:f>IF(A90="","",IF(AND(C90="研究",OR(D90="",J90&lt;&gt;"已判定")),1,0))</x:f>
      </x:c>
      <x:c r="Y90" s="16" t="str">
        <x:f>IF(A90="","",IF(COUNTIF('批次记录'!$A$6:$A$17,B90)&lt;&gt;1,"批次缺失或重复",IF(COUNTIF('笔记筛选'!$A$6:$A$35,E90)&lt;&gt;1,"笔记缺失或重复",IF(AND(K90="是",COUNTIF('证据索引'!$A$6:$A$105,F90)&lt;&gt;1),"证据缺失或重复",""))))</x:f>
      </x:c>
      <x:c r="AA90" s="16" t="str">
        <x:f>IF(A90="","",IF(AND(C90="研究",T90=1),D90,""))</x:f>
      </x:c>
    </x:row>
    <x:row r="91" ht="36" customHeight="1">
      <x:c r="A91" s="11"/>
      <x:c r="B91" s="11"/>
      <x:c r="C91" s="11"/>
      <x:c r="D91" s="11"/>
      <x:c r="E91" s="11"/>
      <x:c r="F91" s="11"/>
      <x:c r="G91" s="17"/>
      <x:c r="H91" s="11"/>
      <x:c r="I91" s="11"/>
      <x:c r="J91" s="11"/>
      <x:c r="K91" s="11"/>
      <x:c r="L91" s="11"/>
      <x:c r="M91" s="11"/>
      <x:c r="N91" s="11"/>
      <x:c r="O91" s="11"/>
      <x:c r="P91" s="11"/>
      <x:c r="Q91" s="16" t="str">
        <x:f>IF(A91="","",IF(C91="研究",1,0))</x:f>
      </x:c>
      <x:c r="R91" s="16" t="str">
        <x:f>IF(OR(A91="",C91&lt;&gt;"研究",D91="",J91&lt;&gt;"已判定"),"",IF(COUNTIFS($D$6:D91,D91,$C$6:C91,"研究",$J$6:J91,"已判定")=1,1,0))</x:f>
      </x:c>
      <x:c r="S91" s="16" t="str">
        <x:f>IF(OR(A91="",C91&lt;&gt;"研究",D91="",J91&lt;&gt;"已判定"),"",IF(COUNTIFS($D$6:D91,D91,$B$6:B91,B91,$C$6:C91,"研究",$J$6:J91,"已判定")=1,1,0))</x:f>
      </x:c>
      <x:c r="T91" s="16" t="str">
        <x:f>IF(A91="","",IF(AND(D91&lt;&gt;"",J91="已判定",K91="是",L91="是",COUNTIF('笔记筛选'!$A$6:$A$35,E91)=1,COUNTIF('批次记录'!$A$6:$A$17,B91)=1,COUNTIF('证据索引'!$A$6:$A$105,F91)=1),IF(AND(INDEX('笔记筛选'!$O$6:$O$35,MATCH(E91,'笔记筛选'!$A$6:$A$35,0))=1,INDEX('证据索引'!$H$6:$H$105,MATCH(F91,'证据索引'!$A$6:$A$105,0))="可定位",INDEX('证据索引'!$F$6:$F$105,MATCH(F91,'证据索引'!$A$6:$A$105,0))="是",INDEX('证据索引'!$B$6:$B$105,MATCH(F91,'证据索引'!$A$6:$A$105,0))=E91),1,0),0))</x:f>
      </x:c>
      <x:c r="U91" s="16" t="str">
        <x:f>IF(R91="","",IF(AND(R91=1,COUNTIF($AA$6:$AA$205,D91)&gt;0),1,0))</x:f>
      </x:c>
      <x:c r="V91" s="16" t="str">
        <x:f>IF(R91="","",IF(AND(R91=1,COUNTIFS('问题评论关联'!$C$6:$C$205,D91,'问题评论关联'!$G$6:$G$205,1)&gt;0),1,0))</x:f>
      </x:c>
      <x:c r="W91" s="16" t="str">
        <x:f>IF(S91="","",IF(AND(S91=1,COUNTIFS('问题评论关联'!$C$6:$C$205,D91,'问题评论关联'!$G$6:$G$205,1)&gt;0),1,0))</x:f>
      </x:c>
      <x:c r="X91" s="16" t="str">
        <x:f>IF(A91="","",IF(AND(C91="研究",OR(D91="",J91&lt;&gt;"已判定")),1,0))</x:f>
      </x:c>
      <x:c r="Y91" s="16" t="str">
        <x:f>IF(A91="","",IF(COUNTIF('批次记录'!$A$6:$A$17,B91)&lt;&gt;1,"批次缺失或重复",IF(COUNTIF('笔记筛选'!$A$6:$A$35,E91)&lt;&gt;1,"笔记缺失或重复",IF(AND(K91="是",COUNTIF('证据索引'!$A$6:$A$105,F91)&lt;&gt;1),"证据缺失或重复",""))))</x:f>
      </x:c>
      <x:c r="AA91" s="16" t="str">
        <x:f>IF(A91="","",IF(AND(C91="研究",T91=1),D91,""))</x:f>
      </x:c>
    </x:row>
    <x:row r="92" ht="36" customHeight="1">
      <x:c r="A92" s="11"/>
      <x:c r="B92" s="11"/>
      <x:c r="C92" s="11"/>
      <x:c r="D92" s="11"/>
      <x:c r="E92" s="11"/>
      <x:c r="F92" s="11"/>
      <x:c r="G92" s="17"/>
      <x:c r="H92" s="11"/>
      <x:c r="I92" s="11"/>
      <x:c r="J92" s="11"/>
      <x:c r="K92" s="11"/>
      <x:c r="L92" s="11"/>
      <x:c r="M92" s="11"/>
      <x:c r="N92" s="11"/>
      <x:c r="O92" s="11"/>
      <x:c r="P92" s="11"/>
      <x:c r="Q92" s="16" t="str">
        <x:f>IF(A92="","",IF(C92="研究",1,0))</x:f>
      </x:c>
      <x:c r="R92" s="16" t="str">
        <x:f>IF(OR(A92="",C92&lt;&gt;"研究",D92="",J92&lt;&gt;"已判定"),"",IF(COUNTIFS($D$6:D92,D92,$C$6:C92,"研究",$J$6:J92,"已判定")=1,1,0))</x:f>
      </x:c>
      <x:c r="S92" s="16" t="str">
        <x:f>IF(OR(A92="",C92&lt;&gt;"研究",D92="",J92&lt;&gt;"已判定"),"",IF(COUNTIFS($D$6:D92,D92,$B$6:B92,B92,$C$6:C92,"研究",$J$6:J92,"已判定")=1,1,0))</x:f>
      </x:c>
      <x:c r="T92" s="16" t="str">
        <x:f>IF(A92="","",IF(AND(D92&lt;&gt;"",J92="已判定",K92="是",L92="是",COUNTIF('笔记筛选'!$A$6:$A$35,E92)=1,COUNTIF('批次记录'!$A$6:$A$17,B92)=1,COUNTIF('证据索引'!$A$6:$A$105,F92)=1),IF(AND(INDEX('笔记筛选'!$O$6:$O$35,MATCH(E92,'笔记筛选'!$A$6:$A$35,0))=1,INDEX('证据索引'!$H$6:$H$105,MATCH(F92,'证据索引'!$A$6:$A$105,0))="可定位",INDEX('证据索引'!$F$6:$F$105,MATCH(F92,'证据索引'!$A$6:$A$105,0))="是",INDEX('证据索引'!$B$6:$B$105,MATCH(F92,'证据索引'!$A$6:$A$105,0))=E92),1,0),0))</x:f>
      </x:c>
      <x:c r="U92" s="16" t="str">
        <x:f>IF(R92="","",IF(AND(R92=1,COUNTIF($AA$6:$AA$205,D92)&gt;0),1,0))</x:f>
      </x:c>
      <x:c r="V92" s="16" t="str">
        <x:f>IF(R92="","",IF(AND(R92=1,COUNTIFS('问题评论关联'!$C$6:$C$205,D92,'问题评论关联'!$G$6:$G$205,1)&gt;0),1,0))</x:f>
      </x:c>
      <x:c r="W92" s="16" t="str">
        <x:f>IF(S92="","",IF(AND(S92=1,COUNTIFS('问题评论关联'!$C$6:$C$205,D92,'问题评论关联'!$G$6:$G$205,1)&gt;0),1,0))</x:f>
      </x:c>
      <x:c r="X92" s="16" t="str">
        <x:f>IF(A92="","",IF(AND(C92="研究",OR(D92="",J92&lt;&gt;"已判定")),1,0))</x:f>
      </x:c>
      <x:c r="Y92" s="16" t="str">
        <x:f>IF(A92="","",IF(COUNTIF('批次记录'!$A$6:$A$17,B92)&lt;&gt;1,"批次缺失或重复",IF(COUNTIF('笔记筛选'!$A$6:$A$35,E92)&lt;&gt;1,"笔记缺失或重复",IF(AND(K92="是",COUNTIF('证据索引'!$A$6:$A$105,F92)&lt;&gt;1),"证据缺失或重复",""))))</x:f>
      </x:c>
      <x:c r="AA92" s="16" t="str">
        <x:f>IF(A92="","",IF(AND(C92="研究",T92=1),D92,""))</x:f>
      </x:c>
    </x:row>
    <x:row r="93" ht="36" customHeight="1">
      <x:c r="A93" s="11"/>
      <x:c r="B93" s="11"/>
      <x:c r="C93" s="11"/>
      <x:c r="D93" s="11"/>
      <x:c r="E93" s="11"/>
      <x:c r="F93" s="11"/>
      <x:c r="G93" s="17"/>
      <x:c r="H93" s="11"/>
      <x:c r="I93" s="11"/>
      <x:c r="J93" s="11"/>
      <x:c r="K93" s="11"/>
      <x:c r="L93" s="11"/>
      <x:c r="M93" s="11"/>
      <x:c r="N93" s="11"/>
      <x:c r="O93" s="11"/>
      <x:c r="P93" s="11"/>
      <x:c r="Q93" s="16" t="str">
        <x:f>IF(A93="","",IF(C93="研究",1,0))</x:f>
      </x:c>
      <x:c r="R93" s="16" t="str">
        <x:f>IF(OR(A93="",C93&lt;&gt;"研究",D93="",J93&lt;&gt;"已判定"),"",IF(COUNTIFS($D$6:D93,D93,$C$6:C93,"研究",$J$6:J93,"已判定")=1,1,0))</x:f>
      </x:c>
      <x:c r="S93" s="16" t="str">
        <x:f>IF(OR(A93="",C93&lt;&gt;"研究",D93="",J93&lt;&gt;"已判定"),"",IF(COUNTIFS($D$6:D93,D93,$B$6:B93,B93,$C$6:C93,"研究",$J$6:J93,"已判定")=1,1,0))</x:f>
      </x:c>
      <x:c r="T93" s="16" t="str">
        <x:f>IF(A93="","",IF(AND(D93&lt;&gt;"",J93="已判定",K93="是",L93="是",COUNTIF('笔记筛选'!$A$6:$A$35,E93)=1,COUNTIF('批次记录'!$A$6:$A$17,B93)=1,COUNTIF('证据索引'!$A$6:$A$105,F93)=1),IF(AND(INDEX('笔记筛选'!$O$6:$O$35,MATCH(E93,'笔记筛选'!$A$6:$A$35,0))=1,INDEX('证据索引'!$H$6:$H$105,MATCH(F93,'证据索引'!$A$6:$A$105,0))="可定位",INDEX('证据索引'!$F$6:$F$105,MATCH(F93,'证据索引'!$A$6:$A$105,0))="是",INDEX('证据索引'!$B$6:$B$105,MATCH(F93,'证据索引'!$A$6:$A$105,0))=E93),1,0),0))</x:f>
      </x:c>
      <x:c r="U93" s="16" t="str">
        <x:f>IF(R93="","",IF(AND(R93=1,COUNTIF($AA$6:$AA$205,D93)&gt;0),1,0))</x:f>
      </x:c>
      <x:c r="V93" s="16" t="str">
        <x:f>IF(R93="","",IF(AND(R93=1,COUNTIFS('问题评论关联'!$C$6:$C$205,D93,'问题评论关联'!$G$6:$G$205,1)&gt;0),1,0))</x:f>
      </x:c>
      <x:c r="W93" s="16" t="str">
        <x:f>IF(S93="","",IF(AND(S93=1,COUNTIFS('问题评论关联'!$C$6:$C$205,D93,'问题评论关联'!$G$6:$G$205,1)&gt;0),1,0))</x:f>
      </x:c>
      <x:c r="X93" s="16" t="str">
        <x:f>IF(A93="","",IF(AND(C93="研究",OR(D93="",J93&lt;&gt;"已判定")),1,0))</x:f>
      </x:c>
      <x:c r="Y93" s="16" t="str">
        <x:f>IF(A93="","",IF(COUNTIF('批次记录'!$A$6:$A$17,B93)&lt;&gt;1,"批次缺失或重复",IF(COUNTIF('笔记筛选'!$A$6:$A$35,E93)&lt;&gt;1,"笔记缺失或重复",IF(AND(K93="是",COUNTIF('证据索引'!$A$6:$A$105,F93)&lt;&gt;1),"证据缺失或重复",""))))</x:f>
      </x:c>
      <x:c r="AA93" s="16" t="str">
        <x:f>IF(A93="","",IF(AND(C93="研究",T93=1),D93,""))</x:f>
      </x:c>
    </x:row>
    <x:row r="94" ht="36" customHeight="1">
      <x:c r="A94" s="11"/>
      <x:c r="B94" s="11"/>
      <x:c r="C94" s="11"/>
      <x:c r="D94" s="11"/>
      <x:c r="E94" s="11"/>
      <x:c r="F94" s="11"/>
      <x:c r="G94" s="17"/>
      <x:c r="H94" s="11"/>
      <x:c r="I94" s="11"/>
      <x:c r="J94" s="11"/>
      <x:c r="K94" s="11"/>
      <x:c r="L94" s="11"/>
      <x:c r="M94" s="11"/>
      <x:c r="N94" s="11"/>
      <x:c r="O94" s="11"/>
      <x:c r="P94" s="11"/>
      <x:c r="Q94" s="16" t="str">
        <x:f>IF(A94="","",IF(C94="研究",1,0))</x:f>
      </x:c>
      <x:c r="R94" s="16" t="str">
        <x:f>IF(OR(A94="",C94&lt;&gt;"研究",D94="",J94&lt;&gt;"已判定"),"",IF(COUNTIFS($D$6:D94,D94,$C$6:C94,"研究",$J$6:J94,"已判定")=1,1,0))</x:f>
      </x:c>
      <x:c r="S94" s="16" t="str">
        <x:f>IF(OR(A94="",C94&lt;&gt;"研究",D94="",J94&lt;&gt;"已判定"),"",IF(COUNTIFS($D$6:D94,D94,$B$6:B94,B94,$C$6:C94,"研究",$J$6:J94,"已判定")=1,1,0))</x:f>
      </x:c>
      <x:c r="T94" s="16" t="str">
        <x:f>IF(A94="","",IF(AND(D94&lt;&gt;"",J94="已判定",K94="是",L94="是",COUNTIF('笔记筛选'!$A$6:$A$35,E94)=1,COUNTIF('批次记录'!$A$6:$A$17,B94)=1,COUNTIF('证据索引'!$A$6:$A$105,F94)=1),IF(AND(INDEX('笔记筛选'!$O$6:$O$35,MATCH(E94,'笔记筛选'!$A$6:$A$35,0))=1,INDEX('证据索引'!$H$6:$H$105,MATCH(F94,'证据索引'!$A$6:$A$105,0))="可定位",INDEX('证据索引'!$F$6:$F$105,MATCH(F94,'证据索引'!$A$6:$A$105,0))="是",INDEX('证据索引'!$B$6:$B$105,MATCH(F94,'证据索引'!$A$6:$A$105,0))=E94),1,0),0))</x:f>
      </x:c>
      <x:c r="U94" s="16" t="str">
        <x:f>IF(R94="","",IF(AND(R94=1,COUNTIF($AA$6:$AA$205,D94)&gt;0),1,0))</x:f>
      </x:c>
      <x:c r="V94" s="16" t="str">
        <x:f>IF(R94="","",IF(AND(R94=1,COUNTIFS('问题评论关联'!$C$6:$C$205,D94,'问题评论关联'!$G$6:$G$205,1)&gt;0),1,0))</x:f>
      </x:c>
      <x:c r="W94" s="16" t="str">
        <x:f>IF(S94="","",IF(AND(S94=1,COUNTIFS('问题评论关联'!$C$6:$C$205,D94,'问题评论关联'!$G$6:$G$205,1)&gt;0),1,0))</x:f>
      </x:c>
      <x:c r="X94" s="16" t="str">
        <x:f>IF(A94="","",IF(AND(C94="研究",OR(D94="",J94&lt;&gt;"已判定")),1,0))</x:f>
      </x:c>
      <x:c r="Y94" s="16" t="str">
        <x:f>IF(A94="","",IF(COUNTIF('批次记录'!$A$6:$A$17,B94)&lt;&gt;1,"批次缺失或重复",IF(COUNTIF('笔记筛选'!$A$6:$A$35,E94)&lt;&gt;1,"笔记缺失或重复",IF(AND(K94="是",COUNTIF('证据索引'!$A$6:$A$105,F94)&lt;&gt;1),"证据缺失或重复",""))))</x:f>
      </x:c>
      <x:c r="AA94" s="16" t="str">
        <x:f>IF(A94="","",IF(AND(C94="研究",T94=1),D94,""))</x:f>
      </x:c>
    </x:row>
    <x:row r="95" ht="36" customHeight="1">
      <x:c r="A95" s="11"/>
      <x:c r="B95" s="11"/>
      <x:c r="C95" s="11"/>
      <x:c r="D95" s="11"/>
      <x:c r="E95" s="11"/>
      <x:c r="F95" s="11"/>
      <x:c r="G95" s="17"/>
      <x:c r="H95" s="11"/>
      <x:c r="I95" s="11"/>
      <x:c r="J95" s="11"/>
      <x:c r="K95" s="11"/>
      <x:c r="L95" s="11"/>
      <x:c r="M95" s="11"/>
      <x:c r="N95" s="11"/>
      <x:c r="O95" s="11"/>
      <x:c r="P95" s="11"/>
      <x:c r="Q95" s="16" t="str">
        <x:f>IF(A95="","",IF(C95="研究",1,0))</x:f>
      </x:c>
      <x:c r="R95" s="16" t="str">
        <x:f>IF(OR(A95="",C95&lt;&gt;"研究",D95="",J95&lt;&gt;"已判定"),"",IF(COUNTIFS($D$6:D95,D95,$C$6:C95,"研究",$J$6:J95,"已判定")=1,1,0))</x:f>
      </x:c>
      <x:c r="S95" s="16" t="str">
        <x:f>IF(OR(A95="",C95&lt;&gt;"研究",D95="",J95&lt;&gt;"已判定"),"",IF(COUNTIFS($D$6:D95,D95,$B$6:B95,B95,$C$6:C95,"研究",$J$6:J95,"已判定")=1,1,0))</x:f>
      </x:c>
      <x:c r="T95" s="16" t="str">
        <x:f>IF(A95="","",IF(AND(D95&lt;&gt;"",J95="已判定",K95="是",L95="是",COUNTIF('笔记筛选'!$A$6:$A$35,E95)=1,COUNTIF('批次记录'!$A$6:$A$17,B95)=1,COUNTIF('证据索引'!$A$6:$A$105,F95)=1),IF(AND(INDEX('笔记筛选'!$O$6:$O$35,MATCH(E95,'笔记筛选'!$A$6:$A$35,0))=1,INDEX('证据索引'!$H$6:$H$105,MATCH(F95,'证据索引'!$A$6:$A$105,0))="可定位",INDEX('证据索引'!$F$6:$F$105,MATCH(F95,'证据索引'!$A$6:$A$105,0))="是",INDEX('证据索引'!$B$6:$B$105,MATCH(F95,'证据索引'!$A$6:$A$105,0))=E95),1,0),0))</x:f>
      </x:c>
      <x:c r="U95" s="16" t="str">
        <x:f>IF(R95="","",IF(AND(R95=1,COUNTIF($AA$6:$AA$205,D95)&gt;0),1,0))</x:f>
      </x:c>
      <x:c r="V95" s="16" t="str">
        <x:f>IF(R95="","",IF(AND(R95=1,COUNTIFS('问题评论关联'!$C$6:$C$205,D95,'问题评论关联'!$G$6:$G$205,1)&gt;0),1,0))</x:f>
      </x:c>
      <x:c r="W95" s="16" t="str">
        <x:f>IF(S95="","",IF(AND(S95=1,COUNTIFS('问题评论关联'!$C$6:$C$205,D95,'问题评论关联'!$G$6:$G$205,1)&gt;0),1,0))</x:f>
      </x:c>
      <x:c r="X95" s="16" t="str">
        <x:f>IF(A95="","",IF(AND(C95="研究",OR(D95="",J95&lt;&gt;"已判定")),1,0))</x:f>
      </x:c>
      <x:c r="Y95" s="16" t="str">
        <x:f>IF(A95="","",IF(COUNTIF('批次记录'!$A$6:$A$17,B95)&lt;&gt;1,"批次缺失或重复",IF(COUNTIF('笔记筛选'!$A$6:$A$35,E95)&lt;&gt;1,"笔记缺失或重复",IF(AND(K95="是",COUNTIF('证据索引'!$A$6:$A$105,F95)&lt;&gt;1),"证据缺失或重复",""))))</x:f>
      </x:c>
      <x:c r="AA95" s="16" t="str">
        <x:f>IF(A95="","",IF(AND(C95="研究",T95=1),D95,""))</x:f>
      </x:c>
    </x:row>
    <x:row r="96" ht="36" customHeight="1">
      <x:c r="A96" s="11"/>
      <x:c r="B96" s="11"/>
      <x:c r="C96" s="11"/>
      <x:c r="D96" s="11"/>
      <x:c r="E96" s="11"/>
      <x:c r="F96" s="11"/>
      <x:c r="G96" s="17"/>
      <x:c r="H96" s="11"/>
      <x:c r="I96" s="11"/>
      <x:c r="J96" s="11"/>
      <x:c r="K96" s="11"/>
      <x:c r="L96" s="11"/>
      <x:c r="M96" s="11"/>
      <x:c r="N96" s="11"/>
      <x:c r="O96" s="11"/>
      <x:c r="P96" s="11"/>
      <x:c r="Q96" s="16" t="str">
        <x:f>IF(A96="","",IF(C96="研究",1,0))</x:f>
      </x:c>
      <x:c r="R96" s="16" t="str">
        <x:f>IF(OR(A96="",C96&lt;&gt;"研究",D96="",J96&lt;&gt;"已判定"),"",IF(COUNTIFS($D$6:D96,D96,$C$6:C96,"研究",$J$6:J96,"已判定")=1,1,0))</x:f>
      </x:c>
      <x:c r="S96" s="16" t="str">
        <x:f>IF(OR(A96="",C96&lt;&gt;"研究",D96="",J96&lt;&gt;"已判定"),"",IF(COUNTIFS($D$6:D96,D96,$B$6:B96,B96,$C$6:C96,"研究",$J$6:J96,"已判定")=1,1,0))</x:f>
      </x:c>
      <x:c r="T96" s="16" t="str">
        <x:f>IF(A96="","",IF(AND(D96&lt;&gt;"",J96="已判定",K96="是",L96="是",COUNTIF('笔记筛选'!$A$6:$A$35,E96)=1,COUNTIF('批次记录'!$A$6:$A$17,B96)=1,COUNTIF('证据索引'!$A$6:$A$105,F96)=1),IF(AND(INDEX('笔记筛选'!$O$6:$O$35,MATCH(E96,'笔记筛选'!$A$6:$A$35,0))=1,INDEX('证据索引'!$H$6:$H$105,MATCH(F96,'证据索引'!$A$6:$A$105,0))="可定位",INDEX('证据索引'!$F$6:$F$105,MATCH(F96,'证据索引'!$A$6:$A$105,0))="是",INDEX('证据索引'!$B$6:$B$105,MATCH(F96,'证据索引'!$A$6:$A$105,0))=E96),1,0),0))</x:f>
      </x:c>
      <x:c r="U96" s="16" t="str">
        <x:f>IF(R96="","",IF(AND(R96=1,COUNTIF($AA$6:$AA$205,D96)&gt;0),1,0))</x:f>
      </x:c>
      <x:c r="V96" s="16" t="str">
        <x:f>IF(R96="","",IF(AND(R96=1,COUNTIFS('问题评论关联'!$C$6:$C$205,D96,'问题评论关联'!$G$6:$G$205,1)&gt;0),1,0))</x:f>
      </x:c>
      <x:c r="W96" s="16" t="str">
        <x:f>IF(S96="","",IF(AND(S96=1,COUNTIFS('问题评论关联'!$C$6:$C$205,D96,'问题评论关联'!$G$6:$G$205,1)&gt;0),1,0))</x:f>
      </x:c>
      <x:c r="X96" s="16" t="str">
        <x:f>IF(A96="","",IF(AND(C96="研究",OR(D96="",J96&lt;&gt;"已判定")),1,0))</x:f>
      </x:c>
      <x:c r="Y96" s="16" t="str">
        <x:f>IF(A96="","",IF(COUNTIF('批次记录'!$A$6:$A$17,B96)&lt;&gt;1,"批次缺失或重复",IF(COUNTIF('笔记筛选'!$A$6:$A$35,E96)&lt;&gt;1,"笔记缺失或重复",IF(AND(K96="是",COUNTIF('证据索引'!$A$6:$A$105,F96)&lt;&gt;1),"证据缺失或重复",""))))</x:f>
      </x:c>
      <x:c r="AA96" s="16" t="str">
        <x:f>IF(A96="","",IF(AND(C96="研究",T96=1),D96,""))</x:f>
      </x:c>
    </x:row>
    <x:row r="97" ht="36" customHeight="1">
      <x:c r="A97" s="11"/>
      <x:c r="B97" s="11"/>
      <x:c r="C97" s="11"/>
      <x:c r="D97" s="11"/>
      <x:c r="E97" s="11"/>
      <x:c r="F97" s="11"/>
      <x:c r="G97" s="17"/>
      <x:c r="H97" s="11"/>
      <x:c r="I97" s="11"/>
      <x:c r="J97" s="11"/>
      <x:c r="K97" s="11"/>
      <x:c r="L97" s="11"/>
      <x:c r="M97" s="11"/>
      <x:c r="N97" s="11"/>
      <x:c r="O97" s="11"/>
      <x:c r="P97" s="11"/>
      <x:c r="Q97" s="16" t="str">
        <x:f>IF(A97="","",IF(C97="研究",1,0))</x:f>
      </x:c>
      <x:c r="R97" s="16" t="str">
        <x:f>IF(OR(A97="",C97&lt;&gt;"研究",D97="",J97&lt;&gt;"已判定"),"",IF(COUNTIFS($D$6:D97,D97,$C$6:C97,"研究",$J$6:J97,"已判定")=1,1,0))</x:f>
      </x:c>
      <x:c r="S97" s="16" t="str">
        <x:f>IF(OR(A97="",C97&lt;&gt;"研究",D97="",J97&lt;&gt;"已判定"),"",IF(COUNTIFS($D$6:D97,D97,$B$6:B97,B97,$C$6:C97,"研究",$J$6:J97,"已判定")=1,1,0))</x:f>
      </x:c>
      <x:c r="T97" s="16" t="str">
        <x:f>IF(A97="","",IF(AND(D97&lt;&gt;"",J97="已判定",K97="是",L97="是",COUNTIF('笔记筛选'!$A$6:$A$35,E97)=1,COUNTIF('批次记录'!$A$6:$A$17,B97)=1,COUNTIF('证据索引'!$A$6:$A$105,F97)=1),IF(AND(INDEX('笔记筛选'!$O$6:$O$35,MATCH(E97,'笔记筛选'!$A$6:$A$35,0))=1,INDEX('证据索引'!$H$6:$H$105,MATCH(F97,'证据索引'!$A$6:$A$105,0))="可定位",INDEX('证据索引'!$F$6:$F$105,MATCH(F97,'证据索引'!$A$6:$A$105,0))="是",INDEX('证据索引'!$B$6:$B$105,MATCH(F97,'证据索引'!$A$6:$A$105,0))=E97),1,0),0))</x:f>
      </x:c>
      <x:c r="U97" s="16" t="str">
        <x:f>IF(R97="","",IF(AND(R97=1,COUNTIF($AA$6:$AA$205,D97)&gt;0),1,0))</x:f>
      </x:c>
      <x:c r="V97" s="16" t="str">
        <x:f>IF(R97="","",IF(AND(R97=1,COUNTIFS('问题评论关联'!$C$6:$C$205,D97,'问题评论关联'!$G$6:$G$205,1)&gt;0),1,0))</x:f>
      </x:c>
      <x:c r="W97" s="16" t="str">
        <x:f>IF(S97="","",IF(AND(S97=1,COUNTIFS('问题评论关联'!$C$6:$C$205,D97,'问题评论关联'!$G$6:$G$205,1)&gt;0),1,0))</x:f>
      </x:c>
      <x:c r="X97" s="16" t="str">
        <x:f>IF(A97="","",IF(AND(C97="研究",OR(D97="",J97&lt;&gt;"已判定")),1,0))</x:f>
      </x:c>
      <x:c r="Y97" s="16" t="str">
        <x:f>IF(A97="","",IF(COUNTIF('批次记录'!$A$6:$A$17,B97)&lt;&gt;1,"批次缺失或重复",IF(COUNTIF('笔记筛选'!$A$6:$A$35,E97)&lt;&gt;1,"笔记缺失或重复",IF(AND(K97="是",COUNTIF('证据索引'!$A$6:$A$105,F97)&lt;&gt;1),"证据缺失或重复",""))))</x:f>
      </x:c>
      <x:c r="AA97" s="16" t="str">
        <x:f>IF(A97="","",IF(AND(C97="研究",T97=1),D97,""))</x:f>
      </x:c>
    </x:row>
    <x:row r="98" ht="36" customHeight="1">
      <x:c r="A98" s="11"/>
      <x:c r="B98" s="11"/>
      <x:c r="C98" s="11"/>
      <x:c r="D98" s="11"/>
      <x:c r="E98" s="11"/>
      <x:c r="F98" s="11"/>
      <x:c r="G98" s="17"/>
      <x:c r="H98" s="11"/>
      <x:c r="I98" s="11"/>
      <x:c r="J98" s="11"/>
      <x:c r="K98" s="11"/>
      <x:c r="L98" s="11"/>
      <x:c r="M98" s="11"/>
      <x:c r="N98" s="11"/>
      <x:c r="O98" s="11"/>
      <x:c r="P98" s="11"/>
      <x:c r="Q98" s="16" t="str">
        <x:f>IF(A98="","",IF(C98="研究",1,0))</x:f>
      </x:c>
      <x:c r="R98" s="16" t="str">
        <x:f>IF(OR(A98="",C98&lt;&gt;"研究",D98="",J98&lt;&gt;"已判定"),"",IF(COUNTIFS($D$6:D98,D98,$C$6:C98,"研究",$J$6:J98,"已判定")=1,1,0))</x:f>
      </x:c>
      <x:c r="S98" s="16" t="str">
        <x:f>IF(OR(A98="",C98&lt;&gt;"研究",D98="",J98&lt;&gt;"已判定"),"",IF(COUNTIFS($D$6:D98,D98,$B$6:B98,B98,$C$6:C98,"研究",$J$6:J98,"已判定")=1,1,0))</x:f>
      </x:c>
      <x:c r="T98" s="16" t="str">
        <x:f>IF(A98="","",IF(AND(D98&lt;&gt;"",J98="已判定",K98="是",L98="是",COUNTIF('笔记筛选'!$A$6:$A$35,E98)=1,COUNTIF('批次记录'!$A$6:$A$17,B98)=1,COUNTIF('证据索引'!$A$6:$A$105,F98)=1),IF(AND(INDEX('笔记筛选'!$O$6:$O$35,MATCH(E98,'笔记筛选'!$A$6:$A$35,0))=1,INDEX('证据索引'!$H$6:$H$105,MATCH(F98,'证据索引'!$A$6:$A$105,0))="可定位",INDEX('证据索引'!$F$6:$F$105,MATCH(F98,'证据索引'!$A$6:$A$105,0))="是",INDEX('证据索引'!$B$6:$B$105,MATCH(F98,'证据索引'!$A$6:$A$105,0))=E98),1,0),0))</x:f>
      </x:c>
      <x:c r="U98" s="16" t="str">
        <x:f>IF(R98="","",IF(AND(R98=1,COUNTIF($AA$6:$AA$205,D98)&gt;0),1,0))</x:f>
      </x:c>
      <x:c r="V98" s="16" t="str">
        <x:f>IF(R98="","",IF(AND(R98=1,COUNTIFS('问题评论关联'!$C$6:$C$205,D98,'问题评论关联'!$G$6:$G$205,1)&gt;0),1,0))</x:f>
      </x:c>
      <x:c r="W98" s="16" t="str">
        <x:f>IF(S98="","",IF(AND(S98=1,COUNTIFS('问题评论关联'!$C$6:$C$205,D98,'问题评论关联'!$G$6:$G$205,1)&gt;0),1,0))</x:f>
      </x:c>
      <x:c r="X98" s="16" t="str">
        <x:f>IF(A98="","",IF(AND(C98="研究",OR(D98="",J98&lt;&gt;"已判定")),1,0))</x:f>
      </x:c>
      <x:c r="Y98" s="16" t="str">
        <x:f>IF(A98="","",IF(COUNTIF('批次记录'!$A$6:$A$17,B98)&lt;&gt;1,"批次缺失或重复",IF(COUNTIF('笔记筛选'!$A$6:$A$35,E98)&lt;&gt;1,"笔记缺失或重复",IF(AND(K98="是",COUNTIF('证据索引'!$A$6:$A$105,F98)&lt;&gt;1),"证据缺失或重复",""))))</x:f>
      </x:c>
      <x:c r="AA98" s="16" t="str">
        <x:f>IF(A98="","",IF(AND(C98="研究",T98=1),D98,""))</x:f>
      </x:c>
    </x:row>
    <x:row r="99" ht="36" customHeight="1">
      <x:c r="A99" s="11"/>
      <x:c r="B99" s="11"/>
      <x:c r="C99" s="11"/>
      <x:c r="D99" s="11"/>
      <x:c r="E99" s="11"/>
      <x:c r="F99" s="11"/>
      <x:c r="G99" s="17"/>
      <x:c r="H99" s="11"/>
      <x:c r="I99" s="11"/>
      <x:c r="J99" s="11"/>
      <x:c r="K99" s="11"/>
      <x:c r="L99" s="11"/>
      <x:c r="M99" s="11"/>
      <x:c r="N99" s="11"/>
      <x:c r="O99" s="11"/>
      <x:c r="P99" s="11"/>
      <x:c r="Q99" s="16" t="str">
        <x:f>IF(A99="","",IF(C99="研究",1,0))</x:f>
      </x:c>
      <x:c r="R99" s="16" t="str">
        <x:f>IF(OR(A99="",C99&lt;&gt;"研究",D99="",J99&lt;&gt;"已判定"),"",IF(COUNTIFS($D$6:D99,D99,$C$6:C99,"研究",$J$6:J99,"已判定")=1,1,0))</x:f>
      </x:c>
      <x:c r="S99" s="16" t="str">
        <x:f>IF(OR(A99="",C99&lt;&gt;"研究",D99="",J99&lt;&gt;"已判定"),"",IF(COUNTIFS($D$6:D99,D99,$B$6:B99,B99,$C$6:C99,"研究",$J$6:J99,"已判定")=1,1,0))</x:f>
      </x:c>
      <x:c r="T99" s="16" t="str">
        <x:f>IF(A99="","",IF(AND(D99&lt;&gt;"",J99="已判定",K99="是",L99="是",COUNTIF('笔记筛选'!$A$6:$A$35,E99)=1,COUNTIF('批次记录'!$A$6:$A$17,B99)=1,COUNTIF('证据索引'!$A$6:$A$105,F99)=1),IF(AND(INDEX('笔记筛选'!$O$6:$O$35,MATCH(E99,'笔记筛选'!$A$6:$A$35,0))=1,INDEX('证据索引'!$H$6:$H$105,MATCH(F99,'证据索引'!$A$6:$A$105,0))="可定位",INDEX('证据索引'!$F$6:$F$105,MATCH(F99,'证据索引'!$A$6:$A$105,0))="是",INDEX('证据索引'!$B$6:$B$105,MATCH(F99,'证据索引'!$A$6:$A$105,0))=E99),1,0),0))</x:f>
      </x:c>
      <x:c r="U99" s="16" t="str">
        <x:f>IF(R99="","",IF(AND(R99=1,COUNTIF($AA$6:$AA$205,D99)&gt;0),1,0))</x:f>
      </x:c>
      <x:c r="V99" s="16" t="str">
        <x:f>IF(R99="","",IF(AND(R99=1,COUNTIFS('问题评论关联'!$C$6:$C$205,D99,'问题评论关联'!$G$6:$G$205,1)&gt;0),1,0))</x:f>
      </x:c>
      <x:c r="W99" s="16" t="str">
        <x:f>IF(S99="","",IF(AND(S99=1,COUNTIFS('问题评论关联'!$C$6:$C$205,D99,'问题评论关联'!$G$6:$G$205,1)&gt;0),1,0))</x:f>
      </x:c>
      <x:c r="X99" s="16" t="str">
        <x:f>IF(A99="","",IF(AND(C99="研究",OR(D99="",J99&lt;&gt;"已判定")),1,0))</x:f>
      </x:c>
      <x:c r="Y99" s="16" t="str">
        <x:f>IF(A99="","",IF(COUNTIF('批次记录'!$A$6:$A$17,B99)&lt;&gt;1,"批次缺失或重复",IF(COUNTIF('笔记筛选'!$A$6:$A$35,E99)&lt;&gt;1,"笔记缺失或重复",IF(AND(K99="是",COUNTIF('证据索引'!$A$6:$A$105,F99)&lt;&gt;1),"证据缺失或重复",""))))</x:f>
      </x:c>
      <x:c r="AA99" s="16" t="str">
        <x:f>IF(A99="","",IF(AND(C99="研究",T99=1),D99,""))</x:f>
      </x:c>
    </x:row>
    <x:row r="100" ht="36" customHeight="1">
      <x:c r="A100" s="11"/>
      <x:c r="B100" s="11"/>
      <x:c r="C100" s="11"/>
      <x:c r="D100" s="11"/>
      <x:c r="E100" s="11"/>
      <x:c r="F100" s="11"/>
      <x:c r="G100" s="17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6" t="str">
        <x:f>IF(A100="","",IF(C100="研究",1,0))</x:f>
      </x:c>
      <x:c r="R100" s="16" t="str">
        <x:f>IF(OR(A100="",C100&lt;&gt;"研究",D100="",J100&lt;&gt;"已判定"),"",IF(COUNTIFS($D$6:D100,D100,$C$6:C100,"研究",$J$6:J100,"已判定")=1,1,0))</x:f>
      </x:c>
      <x:c r="S100" s="16" t="str">
        <x:f>IF(OR(A100="",C100&lt;&gt;"研究",D100="",J100&lt;&gt;"已判定"),"",IF(COUNTIFS($D$6:D100,D100,$B$6:B100,B100,$C$6:C100,"研究",$J$6:J100,"已判定")=1,1,0))</x:f>
      </x:c>
      <x:c r="T100" s="16" t="str">
        <x:f>IF(A100="","",IF(AND(D100&lt;&gt;"",J100="已判定",K100="是",L100="是",COUNTIF('笔记筛选'!$A$6:$A$35,E100)=1,COUNTIF('批次记录'!$A$6:$A$17,B100)=1,COUNTIF('证据索引'!$A$6:$A$105,F100)=1),IF(AND(INDEX('笔记筛选'!$O$6:$O$35,MATCH(E100,'笔记筛选'!$A$6:$A$35,0))=1,INDEX('证据索引'!$H$6:$H$105,MATCH(F100,'证据索引'!$A$6:$A$105,0))="可定位",INDEX('证据索引'!$F$6:$F$105,MATCH(F100,'证据索引'!$A$6:$A$105,0))="是",INDEX('证据索引'!$B$6:$B$105,MATCH(F100,'证据索引'!$A$6:$A$105,0))=E100),1,0),0))</x:f>
      </x:c>
      <x:c r="U100" s="16" t="str">
        <x:f>IF(R100="","",IF(AND(R100=1,COUNTIF($AA$6:$AA$205,D100)&gt;0),1,0))</x:f>
      </x:c>
      <x:c r="V100" s="16" t="str">
        <x:f>IF(R100="","",IF(AND(R100=1,COUNTIFS('问题评论关联'!$C$6:$C$205,D100,'问题评论关联'!$G$6:$G$205,1)&gt;0),1,0))</x:f>
      </x:c>
      <x:c r="W100" s="16" t="str">
        <x:f>IF(S100="","",IF(AND(S100=1,COUNTIFS('问题评论关联'!$C$6:$C$205,D100,'问题评论关联'!$G$6:$G$205,1)&gt;0),1,0))</x:f>
      </x:c>
      <x:c r="X100" s="16" t="str">
        <x:f>IF(A100="","",IF(AND(C100="研究",OR(D100="",J100&lt;&gt;"已判定")),1,0))</x:f>
      </x:c>
      <x:c r="Y100" s="16" t="str">
        <x:f>IF(A100="","",IF(COUNTIF('批次记录'!$A$6:$A$17,B100)&lt;&gt;1,"批次缺失或重复",IF(COUNTIF('笔记筛选'!$A$6:$A$35,E100)&lt;&gt;1,"笔记缺失或重复",IF(AND(K100="是",COUNTIF('证据索引'!$A$6:$A$105,F100)&lt;&gt;1),"证据缺失或重复",""))))</x:f>
      </x:c>
      <x:c r="AA100" s="16" t="str">
        <x:f>IF(A100="","",IF(AND(C100="研究",T100=1),D100,""))</x:f>
      </x:c>
    </x:row>
    <x:row r="101" ht="36" customHeight="1">
      <x:c r="A101" s="11"/>
      <x:c r="B101" s="11"/>
      <x:c r="C101" s="11"/>
      <x:c r="D101" s="11"/>
      <x:c r="E101" s="11"/>
      <x:c r="F101" s="11"/>
      <x:c r="G101" s="17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6" t="str">
        <x:f>IF(A101="","",IF(C101="研究",1,0))</x:f>
      </x:c>
      <x:c r="R101" s="16" t="str">
        <x:f>IF(OR(A101="",C101&lt;&gt;"研究",D101="",J101&lt;&gt;"已判定"),"",IF(COUNTIFS($D$6:D101,D101,$C$6:C101,"研究",$J$6:J101,"已判定")=1,1,0))</x:f>
      </x:c>
      <x:c r="S101" s="16" t="str">
        <x:f>IF(OR(A101="",C101&lt;&gt;"研究",D101="",J101&lt;&gt;"已判定"),"",IF(COUNTIFS($D$6:D101,D101,$B$6:B101,B101,$C$6:C101,"研究",$J$6:J101,"已判定")=1,1,0))</x:f>
      </x:c>
      <x:c r="T101" s="16" t="str">
        <x:f>IF(A101="","",IF(AND(D101&lt;&gt;"",J101="已判定",K101="是",L101="是",COUNTIF('笔记筛选'!$A$6:$A$35,E101)=1,COUNTIF('批次记录'!$A$6:$A$17,B101)=1,COUNTIF('证据索引'!$A$6:$A$105,F101)=1),IF(AND(INDEX('笔记筛选'!$O$6:$O$35,MATCH(E101,'笔记筛选'!$A$6:$A$35,0))=1,INDEX('证据索引'!$H$6:$H$105,MATCH(F101,'证据索引'!$A$6:$A$105,0))="可定位",INDEX('证据索引'!$F$6:$F$105,MATCH(F101,'证据索引'!$A$6:$A$105,0))="是",INDEX('证据索引'!$B$6:$B$105,MATCH(F101,'证据索引'!$A$6:$A$105,0))=E101),1,0),0))</x:f>
      </x:c>
      <x:c r="U101" s="16" t="str">
        <x:f>IF(R101="","",IF(AND(R101=1,COUNTIF($AA$6:$AA$205,D101)&gt;0),1,0))</x:f>
      </x:c>
      <x:c r="V101" s="16" t="str">
        <x:f>IF(R101="","",IF(AND(R101=1,COUNTIFS('问题评论关联'!$C$6:$C$205,D101,'问题评论关联'!$G$6:$G$205,1)&gt;0),1,0))</x:f>
      </x:c>
      <x:c r="W101" s="16" t="str">
        <x:f>IF(S101="","",IF(AND(S101=1,COUNTIFS('问题评论关联'!$C$6:$C$205,D101,'问题评论关联'!$G$6:$G$205,1)&gt;0),1,0))</x:f>
      </x:c>
      <x:c r="X101" s="16" t="str">
        <x:f>IF(A101="","",IF(AND(C101="研究",OR(D101="",J101&lt;&gt;"已判定")),1,0))</x:f>
      </x:c>
      <x:c r="Y101" s="16" t="str">
        <x:f>IF(A101="","",IF(COUNTIF('批次记录'!$A$6:$A$17,B101)&lt;&gt;1,"批次缺失或重复",IF(COUNTIF('笔记筛选'!$A$6:$A$35,E101)&lt;&gt;1,"笔记缺失或重复",IF(AND(K101="是",COUNTIF('证据索引'!$A$6:$A$105,F101)&lt;&gt;1),"证据缺失或重复",""))))</x:f>
      </x:c>
      <x:c r="AA101" s="16" t="str">
        <x:f>IF(A101="","",IF(AND(C101="研究",T101=1),D101,""))</x:f>
      </x:c>
    </x:row>
    <x:row r="102" ht="36" customHeight="1">
      <x:c r="A102" s="11"/>
      <x:c r="B102" s="11"/>
      <x:c r="C102" s="11"/>
      <x:c r="D102" s="11"/>
      <x:c r="E102" s="11"/>
      <x:c r="F102" s="11"/>
      <x:c r="G102" s="17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6" t="str">
        <x:f>IF(A102="","",IF(C102="研究",1,0))</x:f>
      </x:c>
      <x:c r="R102" s="16" t="str">
        <x:f>IF(OR(A102="",C102&lt;&gt;"研究",D102="",J102&lt;&gt;"已判定"),"",IF(COUNTIFS($D$6:D102,D102,$C$6:C102,"研究",$J$6:J102,"已判定")=1,1,0))</x:f>
      </x:c>
      <x:c r="S102" s="16" t="str">
        <x:f>IF(OR(A102="",C102&lt;&gt;"研究",D102="",J102&lt;&gt;"已判定"),"",IF(COUNTIFS($D$6:D102,D102,$B$6:B102,B102,$C$6:C102,"研究",$J$6:J102,"已判定")=1,1,0))</x:f>
      </x:c>
      <x:c r="T102" s="16" t="str">
        <x:f>IF(A102="","",IF(AND(D102&lt;&gt;"",J102="已判定",K102="是",L102="是",COUNTIF('笔记筛选'!$A$6:$A$35,E102)=1,COUNTIF('批次记录'!$A$6:$A$17,B102)=1,COUNTIF('证据索引'!$A$6:$A$105,F102)=1),IF(AND(INDEX('笔记筛选'!$O$6:$O$35,MATCH(E102,'笔记筛选'!$A$6:$A$35,0))=1,INDEX('证据索引'!$H$6:$H$105,MATCH(F102,'证据索引'!$A$6:$A$105,0))="可定位",INDEX('证据索引'!$F$6:$F$105,MATCH(F102,'证据索引'!$A$6:$A$105,0))="是",INDEX('证据索引'!$B$6:$B$105,MATCH(F102,'证据索引'!$A$6:$A$105,0))=E102),1,0),0))</x:f>
      </x:c>
      <x:c r="U102" s="16" t="str">
        <x:f>IF(R102="","",IF(AND(R102=1,COUNTIF($AA$6:$AA$205,D102)&gt;0),1,0))</x:f>
      </x:c>
      <x:c r="V102" s="16" t="str">
        <x:f>IF(R102="","",IF(AND(R102=1,COUNTIFS('问题评论关联'!$C$6:$C$205,D102,'问题评论关联'!$G$6:$G$205,1)&gt;0),1,0))</x:f>
      </x:c>
      <x:c r="W102" s="16" t="str">
        <x:f>IF(S102="","",IF(AND(S102=1,COUNTIFS('问题评论关联'!$C$6:$C$205,D102,'问题评论关联'!$G$6:$G$205,1)&gt;0),1,0))</x:f>
      </x:c>
      <x:c r="X102" s="16" t="str">
        <x:f>IF(A102="","",IF(AND(C102="研究",OR(D102="",J102&lt;&gt;"已判定")),1,0))</x:f>
      </x:c>
      <x:c r="Y102" s="16" t="str">
        <x:f>IF(A102="","",IF(COUNTIF('批次记录'!$A$6:$A$17,B102)&lt;&gt;1,"批次缺失或重复",IF(COUNTIF('笔记筛选'!$A$6:$A$35,E102)&lt;&gt;1,"笔记缺失或重复",IF(AND(K102="是",COUNTIF('证据索引'!$A$6:$A$105,F102)&lt;&gt;1),"证据缺失或重复",""))))</x:f>
      </x:c>
      <x:c r="AA102" s="16" t="str">
        <x:f>IF(A102="","",IF(AND(C102="研究",T102=1),D102,""))</x:f>
      </x:c>
    </x:row>
    <x:row r="103" ht="36" customHeight="1">
      <x:c r="A103" s="11"/>
      <x:c r="B103" s="11"/>
      <x:c r="C103" s="11"/>
      <x:c r="D103" s="11"/>
      <x:c r="E103" s="11"/>
      <x:c r="F103" s="11"/>
      <x:c r="G103" s="17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6" t="str">
        <x:f>IF(A103="","",IF(C103="研究",1,0))</x:f>
      </x:c>
      <x:c r="R103" s="16" t="str">
        <x:f>IF(OR(A103="",C103&lt;&gt;"研究",D103="",J103&lt;&gt;"已判定"),"",IF(COUNTIFS($D$6:D103,D103,$C$6:C103,"研究",$J$6:J103,"已判定")=1,1,0))</x:f>
      </x:c>
      <x:c r="S103" s="16" t="str">
        <x:f>IF(OR(A103="",C103&lt;&gt;"研究",D103="",J103&lt;&gt;"已判定"),"",IF(COUNTIFS($D$6:D103,D103,$B$6:B103,B103,$C$6:C103,"研究",$J$6:J103,"已判定")=1,1,0))</x:f>
      </x:c>
      <x:c r="T103" s="16" t="str">
        <x:f>IF(A103="","",IF(AND(D103&lt;&gt;"",J103="已判定",K103="是",L103="是",COUNTIF('笔记筛选'!$A$6:$A$35,E103)=1,COUNTIF('批次记录'!$A$6:$A$17,B103)=1,COUNTIF('证据索引'!$A$6:$A$105,F103)=1),IF(AND(INDEX('笔记筛选'!$O$6:$O$35,MATCH(E103,'笔记筛选'!$A$6:$A$35,0))=1,INDEX('证据索引'!$H$6:$H$105,MATCH(F103,'证据索引'!$A$6:$A$105,0))="可定位",INDEX('证据索引'!$F$6:$F$105,MATCH(F103,'证据索引'!$A$6:$A$105,0))="是",INDEX('证据索引'!$B$6:$B$105,MATCH(F103,'证据索引'!$A$6:$A$105,0))=E103),1,0),0))</x:f>
      </x:c>
      <x:c r="U103" s="16" t="str">
        <x:f>IF(R103="","",IF(AND(R103=1,COUNTIF($AA$6:$AA$205,D103)&gt;0),1,0))</x:f>
      </x:c>
      <x:c r="V103" s="16" t="str">
        <x:f>IF(R103="","",IF(AND(R103=1,COUNTIFS('问题评论关联'!$C$6:$C$205,D103,'问题评论关联'!$G$6:$G$205,1)&gt;0),1,0))</x:f>
      </x:c>
      <x:c r="W103" s="16" t="str">
        <x:f>IF(S103="","",IF(AND(S103=1,COUNTIFS('问题评论关联'!$C$6:$C$205,D103,'问题评论关联'!$G$6:$G$205,1)&gt;0),1,0))</x:f>
      </x:c>
      <x:c r="X103" s="16" t="str">
        <x:f>IF(A103="","",IF(AND(C103="研究",OR(D103="",J103&lt;&gt;"已判定")),1,0))</x:f>
      </x:c>
      <x:c r="Y103" s="16" t="str">
        <x:f>IF(A103="","",IF(COUNTIF('批次记录'!$A$6:$A$17,B103)&lt;&gt;1,"批次缺失或重复",IF(COUNTIF('笔记筛选'!$A$6:$A$35,E103)&lt;&gt;1,"笔记缺失或重复",IF(AND(K103="是",COUNTIF('证据索引'!$A$6:$A$105,F103)&lt;&gt;1),"证据缺失或重复",""))))</x:f>
      </x:c>
      <x:c r="AA103" s="16" t="str">
        <x:f>IF(A103="","",IF(AND(C103="研究",T103=1),D103,""))</x:f>
      </x:c>
    </x:row>
    <x:row r="104" ht="36" customHeight="1">
      <x:c r="A104" s="11"/>
      <x:c r="B104" s="11"/>
      <x:c r="C104" s="11"/>
      <x:c r="D104" s="11"/>
      <x:c r="E104" s="11"/>
      <x:c r="F104" s="11"/>
      <x:c r="G104" s="17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6" t="str">
        <x:f>IF(A104="","",IF(C104="研究",1,0))</x:f>
      </x:c>
      <x:c r="R104" s="16" t="str">
        <x:f>IF(OR(A104="",C104&lt;&gt;"研究",D104="",J104&lt;&gt;"已判定"),"",IF(COUNTIFS($D$6:D104,D104,$C$6:C104,"研究",$J$6:J104,"已判定")=1,1,0))</x:f>
      </x:c>
      <x:c r="S104" s="16" t="str">
        <x:f>IF(OR(A104="",C104&lt;&gt;"研究",D104="",J104&lt;&gt;"已判定"),"",IF(COUNTIFS($D$6:D104,D104,$B$6:B104,B104,$C$6:C104,"研究",$J$6:J104,"已判定")=1,1,0))</x:f>
      </x:c>
      <x:c r="T104" s="16" t="str">
        <x:f>IF(A104="","",IF(AND(D104&lt;&gt;"",J104="已判定",K104="是",L104="是",COUNTIF('笔记筛选'!$A$6:$A$35,E104)=1,COUNTIF('批次记录'!$A$6:$A$17,B104)=1,COUNTIF('证据索引'!$A$6:$A$105,F104)=1),IF(AND(INDEX('笔记筛选'!$O$6:$O$35,MATCH(E104,'笔记筛选'!$A$6:$A$35,0))=1,INDEX('证据索引'!$H$6:$H$105,MATCH(F104,'证据索引'!$A$6:$A$105,0))="可定位",INDEX('证据索引'!$F$6:$F$105,MATCH(F104,'证据索引'!$A$6:$A$105,0))="是",INDEX('证据索引'!$B$6:$B$105,MATCH(F104,'证据索引'!$A$6:$A$105,0))=E104),1,0),0))</x:f>
      </x:c>
      <x:c r="U104" s="16" t="str">
        <x:f>IF(R104="","",IF(AND(R104=1,COUNTIF($AA$6:$AA$205,D104)&gt;0),1,0))</x:f>
      </x:c>
      <x:c r="V104" s="16" t="str">
        <x:f>IF(R104="","",IF(AND(R104=1,COUNTIFS('问题评论关联'!$C$6:$C$205,D104,'问题评论关联'!$G$6:$G$205,1)&gt;0),1,0))</x:f>
      </x:c>
      <x:c r="W104" s="16" t="str">
        <x:f>IF(S104="","",IF(AND(S104=1,COUNTIFS('问题评论关联'!$C$6:$C$205,D104,'问题评论关联'!$G$6:$G$205,1)&gt;0),1,0))</x:f>
      </x:c>
      <x:c r="X104" s="16" t="str">
        <x:f>IF(A104="","",IF(AND(C104="研究",OR(D104="",J104&lt;&gt;"已判定")),1,0))</x:f>
      </x:c>
      <x:c r="Y104" s="16" t="str">
        <x:f>IF(A104="","",IF(COUNTIF('批次记录'!$A$6:$A$17,B104)&lt;&gt;1,"批次缺失或重复",IF(COUNTIF('笔记筛选'!$A$6:$A$35,E104)&lt;&gt;1,"笔记缺失或重复",IF(AND(K104="是",COUNTIF('证据索引'!$A$6:$A$105,F104)&lt;&gt;1),"证据缺失或重复",""))))</x:f>
      </x:c>
      <x:c r="AA104" s="16" t="str">
        <x:f>IF(A104="","",IF(AND(C104="研究",T104=1),D104,""))</x:f>
      </x:c>
    </x:row>
    <x:row r="105" ht="36" customHeight="1">
      <x:c r="A105" s="11"/>
      <x:c r="B105" s="11"/>
      <x:c r="C105" s="11"/>
      <x:c r="D105" s="11"/>
      <x:c r="E105" s="11"/>
      <x:c r="F105" s="11"/>
      <x:c r="G105" s="17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6" t="str">
        <x:f>IF(A105="","",IF(C105="研究",1,0))</x:f>
      </x:c>
      <x:c r="R105" s="16" t="str">
        <x:f>IF(OR(A105="",C105&lt;&gt;"研究",D105="",J105&lt;&gt;"已判定"),"",IF(COUNTIFS($D$6:D105,D105,$C$6:C105,"研究",$J$6:J105,"已判定")=1,1,0))</x:f>
      </x:c>
      <x:c r="S105" s="16" t="str">
        <x:f>IF(OR(A105="",C105&lt;&gt;"研究",D105="",J105&lt;&gt;"已判定"),"",IF(COUNTIFS($D$6:D105,D105,$B$6:B105,B105,$C$6:C105,"研究",$J$6:J105,"已判定")=1,1,0))</x:f>
      </x:c>
      <x:c r="T105" s="16" t="str">
        <x:f>IF(A105="","",IF(AND(D105&lt;&gt;"",J105="已判定",K105="是",L105="是",COUNTIF('笔记筛选'!$A$6:$A$35,E105)=1,COUNTIF('批次记录'!$A$6:$A$17,B105)=1,COUNTIF('证据索引'!$A$6:$A$105,F105)=1),IF(AND(INDEX('笔记筛选'!$O$6:$O$35,MATCH(E105,'笔记筛选'!$A$6:$A$35,0))=1,INDEX('证据索引'!$H$6:$H$105,MATCH(F105,'证据索引'!$A$6:$A$105,0))="可定位",INDEX('证据索引'!$F$6:$F$105,MATCH(F105,'证据索引'!$A$6:$A$105,0))="是",INDEX('证据索引'!$B$6:$B$105,MATCH(F105,'证据索引'!$A$6:$A$105,0))=E105),1,0),0))</x:f>
      </x:c>
      <x:c r="U105" s="16" t="str">
        <x:f>IF(R105="","",IF(AND(R105=1,COUNTIF($AA$6:$AA$205,D105)&gt;0),1,0))</x:f>
      </x:c>
      <x:c r="V105" s="16" t="str">
        <x:f>IF(R105="","",IF(AND(R105=1,COUNTIFS('问题评论关联'!$C$6:$C$205,D105,'问题评论关联'!$G$6:$G$205,1)&gt;0),1,0))</x:f>
      </x:c>
      <x:c r="W105" s="16" t="str">
        <x:f>IF(S105="","",IF(AND(S105=1,COUNTIFS('问题评论关联'!$C$6:$C$205,D105,'问题评论关联'!$G$6:$G$205,1)&gt;0),1,0))</x:f>
      </x:c>
      <x:c r="X105" s="16" t="str">
        <x:f>IF(A105="","",IF(AND(C105="研究",OR(D105="",J105&lt;&gt;"已判定")),1,0))</x:f>
      </x:c>
      <x:c r="Y105" s="16" t="str">
        <x:f>IF(A105="","",IF(COUNTIF('批次记录'!$A$6:$A$17,B105)&lt;&gt;1,"批次缺失或重复",IF(COUNTIF('笔记筛选'!$A$6:$A$35,E105)&lt;&gt;1,"笔记缺失或重复",IF(AND(K105="是",COUNTIF('证据索引'!$A$6:$A$105,F105)&lt;&gt;1),"证据缺失或重复",""))))</x:f>
      </x:c>
      <x:c r="AA105" s="16" t="str">
        <x:f>IF(A105="","",IF(AND(C105="研究",T105=1),D105,""))</x:f>
      </x:c>
    </x:row>
    <x:row r="106" ht="36" customHeight="1">
      <x:c r="A106" s="11"/>
      <x:c r="B106" s="11"/>
      <x:c r="C106" s="11"/>
      <x:c r="D106" s="11"/>
      <x:c r="E106" s="11"/>
      <x:c r="F106" s="11"/>
      <x:c r="G106" s="17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6" t="str">
        <x:f>IF(A106="","",IF(C106="研究",1,0))</x:f>
      </x:c>
      <x:c r="R106" s="16" t="str">
        <x:f>IF(OR(A106="",C106&lt;&gt;"研究",D106="",J106&lt;&gt;"已判定"),"",IF(COUNTIFS($D$6:D106,D106,$C$6:C106,"研究",$J$6:J106,"已判定")=1,1,0))</x:f>
      </x:c>
      <x:c r="S106" s="16" t="str">
        <x:f>IF(OR(A106="",C106&lt;&gt;"研究",D106="",J106&lt;&gt;"已判定"),"",IF(COUNTIFS($D$6:D106,D106,$B$6:B106,B106,$C$6:C106,"研究",$J$6:J106,"已判定")=1,1,0))</x:f>
      </x:c>
      <x:c r="T106" s="16" t="str">
        <x:f>IF(A106="","",IF(AND(D106&lt;&gt;"",J106="已判定",K106="是",L106="是",COUNTIF('笔记筛选'!$A$6:$A$35,E106)=1,COUNTIF('批次记录'!$A$6:$A$17,B106)=1,COUNTIF('证据索引'!$A$6:$A$105,F106)=1),IF(AND(INDEX('笔记筛选'!$O$6:$O$35,MATCH(E106,'笔记筛选'!$A$6:$A$35,0))=1,INDEX('证据索引'!$H$6:$H$105,MATCH(F106,'证据索引'!$A$6:$A$105,0))="可定位",INDEX('证据索引'!$F$6:$F$105,MATCH(F106,'证据索引'!$A$6:$A$105,0))="是",INDEX('证据索引'!$B$6:$B$105,MATCH(F106,'证据索引'!$A$6:$A$105,0))=E106),1,0),0))</x:f>
      </x:c>
      <x:c r="U106" s="16" t="str">
        <x:f>IF(R106="","",IF(AND(R106=1,COUNTIF($AA$6:$AA$205,D106)&gt;0),1,0))</x:f>
      </x:c>
      <x:c r="V106" s="16" t="str">
        <x:f>IF(R106="","",IF(AND(R106=1,COUNTIFS('问题评论关联'!$C$6:$C$205,D106,'问题评论关联'!$G$6:$G$205,1)&gt;0),1,0))</x:f>
      </x:c>
      <x:c r="W106" s="16" t="str">
        <x:f>IF(S106="","",IF(AND(S106=1,COUNTIFS('问题评论关联'!$C$6:$C$205,D106,'问题评论关联'!$G$6:$G$205,1)&gt;0),1,0))</x:f>
      </x:c>
      <x:c r="X106" s="16" t="str">
        <x:f>IF(A106="","",IF(AND(C106="研究",OR(D106="",J106&lt;&gt;"已判定")),1,0))</x:f>
      </x:c>
      <x:c r="Y106" s="16" t="str">
        <x:f>IF(A106="","",IF(COUNTIF('批次记录'!$A$6:$A$17,B106)&lt;&gt;1,"批次缺失或重复",IF(COUNTIF('笔记筛选'!$A$6:$A$35,E106)&lt;&gt;1,"笔记缺失或重复",IF(AND(K106="是",COUNTIF('证据索引'!$A$6:$A$105,F106)&lt;&gt;1),"证据缺失或重复",""))))</x:f>
      </x:c>
      <x:c r="AA106" s="16" t="str">
        <x:f>IF(A106="","",IF(AND(C106="研究",T106=1),D106,""))</x:f>
      </x:c>
    </x:row>
    <x:row r="107" ht="36" customHeight="1">
      <x:c r="A107" s="11"/>
      <x:c r="B107" s="11"/>
      <x:c r="C107" s="11"/>
      <x:c r="D107" s="11"/>
      <x:c r="E107" s="11"/>
      <x:c r="F107" s="11"/>
      <x:c r="G107" s="17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6" t="str">
        <x:f>IF(A107="","",IF(C107="研究",1,0))</x:f>
      </x:c>
      <x:c r="R107" s="16" t="str">
        <x:f>IF(OR(A107="",C107&lt;&gt;"研究",D107="",J107&lt;&gt;"已判定"),"",IF(COUNTIFS($D$6:D107,D107,$C$6:C107,"研究",$J$6:J107,"已判定")=1,1,0))</x:f>
      </x:c>
      <x:c r="S107" s="16" t="str">
        <x:f>IF(OR(A107="",C107&lt;&gt;"研究",D107="",J107&lt;&gt;"已判定"),"",IF(COUNTIFS($D$6:D107,D107,$B$6:B107,B107,$C$6:C107,"研究",$J$6:J107,"已判定")=1,1,0))</x:f>
      </x:c>
      <x:c r="T107" s="16" t="str">
        <x:f>IF(A107="","",IF(AND(D107&lt;&gt;"",J107="已判定",K107="是",L107="是",COUNTIF('笔记筛选'!$A$6:$A$35,E107)=1,COUNTIF('批次记录'!$A$6:$A$17,B107)=1,COUNTIF('证据索引'!$A$6:$A$105,F107)=1),IF(AND(INDEX('笔记筛选'!$O$6:$O$35,MATCH(E107,'笔记筛选'!$A$6:$A$35,0))=1,INDEX('证据索引'!$H$6:$H$105,MATCH(F107,'证据索引'!$A$6:$A$105,0))="可定位",INDEX('证据索引'!$F$6:$F$105,MATCH(F107,'证据索引'!$A$6:$A$105,0))="是",INDEX('证据索引'!$B$6:$B$105,MATCH(F107,'证据索引'!$A$6:$A$105,0))=E107),1,0),0))</x:f>
      </x:c>
      <x:c r="U107" s="16" t="str">
        <x:f>IF(R107="","",IF(AND(R107=1,COUNTIF($AA$6:$AA$205,D107)&gt;0),1,0))</x:f>
      </x:c>
      <x:c r="V107" s="16" t="str">
        <x:f>IF(R107="","",IF(AND(R107=1,COUNTIFS('问题评论关联'!$C$6:$C$205,D107,'问题评论关联'!$G$6:$G$205,1)&gt;0),1,0))</x:f>
      </x:c>
      <x:c r="W107" s="16" t="str">
        <x:f>IF(S107="","",IF(AND(S107=1,COUNTIFS('问题评论关联'!$C$6:$C$205,D107,'问题评论关联'!$G$6:$G$205,1)&gt;0),1,0))</x:f>
      </x:c>
      <x:c r="X107" s="16" t="str">
        <x:f>IF(A107="","",IF(AND(C107="研究",OR(D107="",J107&lt;&gt;"已判定")),1,0))</x:f>
      </x:c>
      <x:c r="Y107" s="16" t="str">
        <x:f>IF(A107="","",IF(COUNTIF('批次记录'!$A$6:$A$17,B107)&lt;&gt;1,"批次缺失或重复",IF(COUNTIF('笔记筛选'!$A$6:$A$35,E107)&lt;&gt;1,"笔记缺失或重复",IF(AND(K107="是",COUNTIF('证据索引'!$A$6:$A$105,F107)&lt;&gt;1),"证据缺失或重复",""))))</x:f>
      </x:c>
      <x:c r="AA107" s="16" t="str">
        <x:f>IF(A107="","",IF(AND(C107="研究",T107=1),D107,""))</x:f>
      </x:c>
    </x:row>
    <x:row r="108" ht="36" customHeight="1">
      <x:c r="A108" s="11"/>
      <x:c r="B108" s="11"/>
      <x:c r="C108" s="11"/>
      <x:c r="D108" s="11"/>
      <x:c r="E108" s="11"/>
      <x:c r="F108" s="11"/>
      <x:c r="G108" s="17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6" t="str">
        <x:f>IF(A108="","",IF(C108="研究",1,0))</x:f>
      </x:c>
      <x:c r="R108" s="16" t="str">
        <x:f>IF(OR(A108="",C108&lt;&gt;"研究",D108="",J108&lt;&gt;"已判定"),"",IF(COUNTIFS($D$6:D108,D108,$C$6:C108,"研究",$J$6:J108,"已判定")=1,1,0))</x:f>
      </x:c>
      <x:c r="S108" s="16" t="str">
        <x:f>IF(OR(A108="",C108&lt;&gt;"研究",D108="",J108&lt;&gt;"已判定"),"",IF(COUNTIFS($D$6:D108,D108,$B$6:B108,B108,$C$6:C108,"研究",$J$6:J108,"已判定")=1,1,0))</x:f>
      </x:c>
      <x:c r="T108" s="16" t="str">
        <x:f>IF(A108="","",IF(AND(D108&lt;&gt;"",J108="已判定",K108="是",L108="是",COUNTIF('笔记筛选'!$A$6:$A$35,E108)=1,COUNTIF('批次记录'!$A$6:$A$17,B108)=1,COUNTIF('证据索引'!$A$6:$A$105,F108)=1),IF(AND(INDEX('笔记筛选'!$O$6:$O$35,MATCH(E108,'笔记筛选'!$A$6:$A$35,0))=1,INDEX('证据索引'!$H$6:$H$105,MATCH(F108,'证据索引'!$A$6:$A$105,0))="可定位",INDEX('证据索引'!$F$6:$F$105,MATCH(F108,'证据索引'!$A$6:$A$105,0))="是",INDEX('证据索引'!$B$6:$B$105,MATCH(F108,'证据索引'!$A$6:$A$105,0))=E108),1,0),0))</x:f>
      </x:c>
      <x:c r="U108" s="16" t="str">
        <x:f>IF(R108="","",IF(AND(R108=1,COUNTIF($AA$6:$AA$205,D108)&gt;0),1,0))</x:f>
      </x:c>
      <x:c r="V108" s="16" t="str">
        <x:f>IF(R108="","",IF(AND(R108=1,COUNTIFS('问题评论关联'!$C$6:$C$205,D108,'问题评论关联'!$G$6:$G$205,1)&gt;0),1,0))</x:f>
      </x:c>
      <x:c r="W108" s="16" t="str">
        <x:f>IF(S108="","",IF(AND(S108=1,COUNTIFS('问题评论关联'!$C$6:$C$205,D108,'问题评论关联'!$G$6:$G$205,1)&gt;0),1,0))</x:f>
      </x:c>
      <x:c r="X108" s="16" t="str">
        <x:f>IF(A108="","",IF(AND(C108="研究",OR(D108="",J108&lt;&gt;"已判定")),1,0))</x:f>
      </x:c>
      <x:c r="Y108" s="16" t="str">
        <x:f>IF(A108="","",IF(COUNTIF('批次记录'!$A$6:$A$17,B108)&lt;&gt;1,"批次缺失或重复",IF(COUNTIF('笔记筛选'!$A$6:$A$35,E108)&lt;&gt;1,"笔记缺失或重复",IF(AND(K108="是",COUNTIF('证据索引'!$A$6:$A$105,F108)&lt;&gt;1),"证据缺失或重复",""))))</x:f>
      </x:c>
      <x:c r="AA108" s="16" t="str">
        <x:f>IF(A108="","",IF(AND(C108="研究",T108=1),D108,""))</x:f>
      </x:c>
    </x:row>
    <x:row r="109" ht="36" customHeight="1">
      <x:c r="A109" s="11"/>
      <x:c r="B109" s="11"/>
      <x:c r="C109" s="11"/>
      <x:c r="D109" s="11"/>
      <x:c r="E109" s="11"/>
      <x:c r="F109" s="11"/>
      <x:c r="G109" s="17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6" t="str">
        <x:f>IF(A109="","",IF(C109="研究",1,0))</x:f>
      </x:c>
      <x:c r="R109" s="16" t="str">
        <x:f>IF(OR(A109="",C109&lt;&gt;"研究",D109="",J109&lt;&gt;"已判定"),"",IF(COUNTIFS($D$6:D109,D109,$C$6:C109,"研究",$J$6:J109,"已判定")=1,1,0))</x:f>
      </x:c>
      <x:c r="S109" s="16" t="str">
        <x:f>IF(OR(A109="",C109&lt;&gt;"研究",D109="",J109&lt;&gt;"已判定"),"",IF(COUNTIFS($D$6:D109,D109,$B$6:B109,B109,$C$6:C109,"研究",$J$6:J109,"已判定")=1,1,0))</x:f>
      </x:c>
      <x:c r="T109" s="16" t="str">
        <x:f>IF(A109="","",IF(AND(D109&lt;&gt;"",J109="已判定",K109="是",L109="是",COUNTIF('笔记筛选'!$A$6:$A$35,E109)=1,COUNTIF('批次记录'!$A$6:$A$17,B109)=1,COUNTIF('证据索引'!$A$6:$A$105,F109)=1),IF(AND(INDEX('笔记筛选'!$O$6:$O$35,MATCH(E109,'笔记筛选'!$A$6:$A$35,0))=1,INDEX('证据索引'!$H$6:$H$105,MATCH(F109,'证据索引'!$A$6:$A$105,0))="可定位",INDEX('证据索引'!$F$6:$F$105,MATCH(F109,'证据索引'!$A$6:$A$105,0))="是",INDEX('证据索引'!$B$6:$B$105,MATCH(F109,'证据索引'!$A$6:$A$105,0))=E109),1,0),0))</x:f>
      </x:c>
      <x:c r="U109" s="16" t="str">
        <x:f>IF(R109="","",IF(AND(R109=1,COUNTIF($AA$6:$AA$205,D109)&gt;0),1,0))</x:f>
      </x:c>
      <x:c r="V109" s="16" t="str">
        <x:f>IF(R109="","",IF(AND(R109=1,COUNTIFS('问题评论关联'!$C$6:$C$205,D109,'问题评论关联'!$G$6:$G$205,1)&gt;0),1,0))</x:f>
      </x:c>
      <x:c r="W109" s="16" t="str">
        <x:f>IF(S109="","",IF(AND(S109=1,COUNTIFS('问题评论关联'!$C$6:$C$205,D109,'问题评论关联'!$G$6:$G$205,1)&gt;0),1,0))</x:f>
      </x:c>
      <x:c r="X109" s="16" t="str">
        <x:f>IF(A109="","",IF(AND(C109="研究",OR(D109="",J109&lt;&gt;"已判定")),1,0))</x:f>
      </x:c>
      <x:c r="Y109" s="16" t="str">
        <x:f>IF(A109="","",IF(COUNTIF('批次记录'!$A$6:$A$17,B109)&lt;&gt;1,"批次缺失或重复",IF(COUNTIF('笔记筛选'!$A$6:$A$35,E109)&lt;&gt;1,"笔记缺失或重复",IF(AND(K109="是",COUNTIF('证据索引'!$A$6:$A$105,F109)&lt;&gt;1),"证据缺失或重复",""))))</x:f>
      </x:c>
      <x:c r="AA109" s="16" t="str">
        <x:f>IF(A109="","",IF(AND(C109="研究",T109=1),D109,""))</x:f>
      </x:c>
    </x:row>
    <x:row r="110" ht="36" customHeight="1">
      <x:c r="A110" s="11"/>
      <x:c r="B110" s="11"/>
      <x:c r="C110" s="11"/>
      <x:c r="D110" s="11"/>
      <x:c r="E110" s="11"/>
      <x:c r="F110" s="11"/>
      <x:c r="G110" s="17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6" t="str">
        <x:f>IF(A110="","",IF(C110="研究",1,0))</x:f>
      </x:c>
      <x:c r="R110" s="16" t="str">
        <x:f>IF(OR(A110="",C110&lt;&gt;"研究",D110="",J110&lt;&gt;"已判定"),"",IF(COUNTIFS($D$6:D110,D110,$C$6:C110,"研究",$J$6:J110,"已判定")=1,1,0))</x:f>
      </x:c>
      <x:c r="S110" s="16" t="str">
        <x:f>IF(OR(A110="",C110&lt;&gt;"研究",D110="",J110&lt;&gt;"已判定"),"",IF(COUNTIFS($D$6:D110,D110,$B$6:B110,B110,$C$6:C110,"研究",$J$6:J110,"已判定")=1,1,0))</x:f>
      </x:c>
      <x:c r="T110" s="16" t="str">
        <x:f>IF(A110="","",IF(AND(D110&lt;&gt;"",J110="已判定",K110="是",L110="是",COUNTIF('笔记筛选'!$A$6:$A$35,E110)=1,COUNTIF('批次记录'!$A$6:$A$17,B110)=1,COUNTIF('证据索引'!$A$6:$A$105,F110)=1),IF(AND(INDEX('笔记筛选'!$O$6:$O$35,MATCH(E110,'笔记筛选'!$A$6:$A$35,0))=1,INDEX('证据索引'!$H$6:$H$105,MATCH(F110,'证据索引'!$A$6:$A$105,0))="可定位",INDEX('证据索引'!$F$6:$F$105,MATCH(F110,'证据索引'!$A$6:$A$105,0))="是",INDEX('证据索引'!$B$6:$B$105,MATCH(F110,'证据索引'!$A$6:$A$105,0))=E110),1,0),0))</x:f>
      </x:c>
      <x:c r="U110" s="16" t="str">
        <x:f>IF(R110="","",IF(AND(R110=1,COUNTIF($AA$6:$AA$205,D110)&gt;0),1,0))</x:f>
      </x:c>
      <x:c r="V110" s="16" t="str">
        <x:f>IF(R110="","",IF(AND(R110=1,COUNTIFS('问题评论关联'!$C$6:$C$205,D110,'问题评论关联'!$G$6:$G$205,1)&gt;0),1,0))</x:f>
      </x:c>
      <x:c r="W110" s="16" t="str">
        <x:f>IF(S110="","",IF(AND(S110=1,COUNTIFS('问题评论关联'!$C$6:$C$205,D110,'问题评论关联'!$G$6:$G$205,1)&gt;0),1,0))</x:f>
      </x:c>
      <x:c r="X110" s="16" t="str">
        <x:f>IF(A110="","",IF(AND(C110="研究",OR(D110="",J110&lt;&gt;"已判定")),1,0))</x:f>
      </x:c>
      <x:c r="Y110" s="16" t="str">
        <x:f>IF(A110="","",IF(COUNTIF('批次记录'!$A$6:$A$17,B110)&lt;&gt;1,"批次缺失或重复",IF(COUNTIF('笔记筛选'!$A$6:$A$35,E110)&lt;&gt;1,"笔记缺失或重复",IF(AND(K110="是",COUNTIF('证据索引'!$A$6:$A$105,F110)&lt;&gt;1),"证据缺失或重复",""))))</x:f>
      </x:c>
      <x:c r="AA110" s="16" t="str">
        <x:f>IF(A110="","",IF(AND(C110="研究",T110=1),D110,""))</x:f>
      </x:c>
    </x:row>
    <x:row r="111" ht="36" customHeight="1">
      <x:c r="A111" s="11"/>
      <x:c r="B111" s="11"/>
      <x:c r="C111" s="11"/>
      <x:c r="D111" s="11"/>
      <x:c r="E111" s="11"/>
      <x:c r="F111" s="11"/>
      <x:c r="G111" s="17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6" t="str">
        <x:f>IF(A111="","",IF(C111="研究",1,0))</x:f>
      </x:c>
      <x:c r="R111" s="16" t="str">
        <x:f>IF(OR(A111="",C111&lt;&gt;"研究",D111="",J111&lt;&gt;"已判定"),"",IF(COUNTIFS($D$6:D111,D111,$C$6:C111,"研究",$J$6:J111,"已判定")=1,1,0))</x:f>
      </x:c>
      <x:c r="S111" s="16" t="str">
        <x:f>IF(OR(A111="",C111&lt;&gt;"研究",D111="",J111&lt;&gt;"已判定"),"",IF(COUNTIFS($D$6:D111,D111,$B$6:B111,B111,$C$6:C111,"研究",$J$6:J111,"已判定")=1,1,0))</x:f>
      </x:c>
      <x:c r="T111" s="16" t="str">
        <x:f>IF(A111="","",IF(AND(D111&lt;&gt;"",J111="已判定",K111="是",L111="是",COUNTIF('笔记筛选'!$A$6:$A$35,E111)=1,COUNTIF('批次记录'!$A$6:$A$17,B111)=1,COUNTIF('证据索引'!$A$6:$A$105,F111)=1),IF(AND(INDEX('笔记筛选'!$O$6:$O$35,MATCH(E111,'笔记筛选'!$A$6:$A$35,0))=1,INDEX('证据索引'!$H$6:$H$105,MATCH(F111,'证据索引'!$A$6:$A$105,0))="可定位",INDEX('证据索引'!$F$6:$F$105,MATCH(F111,'证据索引'!$A$6:$A$105,0))="是",INDEX('证据索引'!$B$6:$B$105,MATCH(F111,'证据索引'!$A$6:$A$105,0))=E111),1,0),0))</x:f>
      </x:c>
      <x:c r="U111" s="16" t="str">
        <x:f>IF(R111="","",IF(AND(R111=1,COUNTIF($AA$6:$AA$205,D111)&gt;0),1,0))</x:f>
      </x:c>
      <x:c r="V111" s="16" t="str">
        <x:f>IF(R111="","",IF(AND(R111=1,COUNTIFS('问题评论关联'!$C$6:$C$205,D111,'问题评论关联'!$G$6:$G$205,1)&gt;0),1,0))</x:f>
      </x:c>
      <x:c r="W111" s="16" t="str">
        <x:f>IF(S111="","",IF(AND(S111=1,COUNTIFS('问题评论关联'!$C$6:$C$205,D111,'问题评论关联'!$G$6:$G$205,1)&gt;0),1,0))</x:f>
      </x:c>
      <x:c r="X111" s="16" t="str">
        <x:f>IF(A111="","",IF(AND(C111="研究",OR(D111="",J111&lt;&gt;"已判定")),1,0))</x:f>
      </x:c>
      <x:c r="Y111" s="16" t="str">
        <x:f>IF(A111="","",IF(COUNTIF('批次记录'!$A$6:$A$17,B111)&lt;&gt;1,"批次缺失或重复",IF(COUNTIF('笔记筛选'!$A$6:$A$35,E111)&lt;&gt;1,"笔记缺失或重复",IF(AND(K111="是",COUNTIF('证据索引'!$A$6:$A$105,F111)&lt;&gt;1),"证据缺失或重复",""))))</x:f>
      </x:c>
      <x:c r="AA111" s="16" t="str">
        <x:f>IF(A111="","",IF(AND(C111="研究",T111=1),D111,""))</x:f>
      </x:c>
    </x:row>
    <x:row r="112" ht="36" customHeight="1">
      <x:c r="A112" s="11"/>
      <x:c r="B112" s="11"/>
      <x:c r="C112" s="11"/>
      <x:c r="D112" s="11"/>
      <x:c r="E112" s="11"/>
      <x:c r="F112" s="11"/>
      <x:c r="G112" s="17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6" t="str">
        <x:f>IF(A112="","",IF(C112="研究",1,0))</x:f>
      </x:c>
      <x:c r="R112" s="16" t="str">
        <x:f>IF(OR(A112="",C112&lt;&gt;"研究",D112="",J112&lt;&gt;"已判定"),"",IF(COUNTIFS($D$6:D112,D112,$C$6:C112,"研究",$J$6:J112,"已判定")=1,1,0))</x:f>
      </x:c>
      <x:c r="S112" s="16" t="str">
        <x:f>IF(OR(A112="",C112&lt;&gt;"研究",D112="",J112&lt;&gt;"已判定"),"",IF(COUNTIFS($D$6:D112,D112,$B$6:B112,B112,$C$6:C112,"研究",$J$6:J112,"已判定")=1,1,0))</x:f>
      </x:c>
      <x:c r="T112" s="16" t="str">
        <x:f>IF(A112="","",IF(AND(D112&lt;&gt;"",J112="已判定",K112="是",L112="是",COUNTIF('笔记筛选'!$A$6:$A$35,E112)=1,COUNTIF('批次记录'!$A$6:$A$17,B112)=1,COUNTIF('证据索引'!$A$6:$A$105,F112)=1),IF(AND(INDEX('笔记筛选'!$O$6:$O$35,MATCH(E112,'笔记筛选'!$A$6:$A$35,0))=1,INDEX('证据索引'!$H$6:$H$105,MATCH(F112,'证据索引'!$A$6:$A$105,0))="可定位",INDEX('证据索引'!$F$6:$F$105,MATCH(F112,'证据索引'!$A$6:$A$105,0))="是",INDEX('证据索引'!$B$6:$B$105,MATCH(F112,'证据索引'!$A$6:$A$105,0))=E112),1,0),0))</x:f>
      </x:c>
      <x:c r="U112" s="16" t="str">
        <x:f>IF(R112="","",IF(AND(R112=1,COUNTIF($AA$6:$AA$205,D112)&gt;0),1,0))</x:f>
      </x:c>
      <x:c r="V112" s="16" t="str">
        <x:f>IF(R112="","",IF(AND(R112=1,COUNTIFS('问题评论关联'!$C$6:$C$205,D112,'问题评论关联'!$G$6:$G$205,1)&gt;0),1,0))</x:f>
      </x:c>
      <x:c r="W112" s="16" t="str">
        <x:f>IF(S112="","",IF(AND(S112=1,COUNTIFS('问题评论关联'!$C$6:$C$205,D112,'问题评论关联'!$G$6:$G$205,1)&gt;0),1,0))</x:f>
      </x:c>
      <x:c r="X112" s="16" t="str">
        <x:f>IF(A112="","",IF(AND(C112="研究",OR(D112="",J112&lt;&gt;"已判定")),1,0))</x:f>
      </x:c>
      <x:c r="Y112" s="16" t="str">
        <x:f>IF(A112="","",IF(COUNTIF('批次记录'!$A$6:$A$17,B112)&lt;&gt;1,"批次缺失或重复",IF(COUNTIF('笔记筛选'!$A$6:$A$35,E112)&lt;&gt;1,"笔记缺失或重复",IF(AND(K112="是",COUNTIF('证据索引'!$A$6:$A$105,F112)&lt;&gt;1),"证据缺失或重复",""))))</x:f>
      </x:c>
      <x:c r="AA112" s="16" t="str">
        <x:f>IF(A112="","",IF(AND(C112="研究",T112=1),D112,""))</x:f>
      </x:c>
    </x:row>
    <x:row r="113" ht="36" customHeight="1">
      <x:c r="A113" s="11"/>
      <x:c r="B113" s="11"/>
      <x:c r="C113" s="11"/>
      <x:c r="D113" s="11"/>
      <x:c r="E113" s="11"/>
      <x:c r="F113" s="11"/>
      <x:c r="G113" s="17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6" t="str">
        <x:f>IF(A113="","",IF(C113="研究",1,0))</x:f>
      </x:c>
      <x:c r="R113" s="16" t="str">
        <x:f>IF(OR(A113="",C113&lt;&gt;"研究",D113="",J113&lt;&gt;"已判定"),"",IF(COUNTIFS($D$6:D113,D113,$C$6:C113,"研究",$J$6:J113,"已判定")=1,1,0))</x:f>
      </x:c>
      <x:c r="S113" s="16" t="str">
        <x:f>IF(OR(A113="",C113&lt;&gt;"研究",D113="",J113&lt;&gt;"已判定"),"",IF(COUNTIFS($D$6:D113,D113,$B$6:B113,B113,$C$6:C113,"研究",$J$6:J113,"已判定")=1,1,0))</x:f>
      </x:c>
      <x:c r="T113" s="16" t="str">
        <x:f>IF(A113="","",IF(AND(D113&lt;&gt;"",J113="已判定",K113="是",L113="是",COUNTIF('笔记筛选'!$A$6:$A$35,E113)=1,COUNTIF('批次记录'!$A$6:$A$17,B113)=1,COUNTIF('证据索引'!$A$6:$A$105,F113)=1),IF(AND(INDEX('笔记筛选'!$O$6:$O$35,MATCH(E113,'笔记筛选'!$A$6:$A$35,0))=1,INDEX('证据索引'!$H$6:$H$105,MATCH(F113,'证据索引'!$A$6:$A$105,0))="可定位",INDEX('证据索引'!$F$6:$F$105,MATCH(F113,'证据索引'!$A$6:$A$105,0))="是",INDEX('证据索引'!$B$6:$B$105,MATCH(F113,'证据索引'!$A$6:$A$105,0))=E113),1,0),0))</x:f>
      </x:c>
      <x:c r="U113" s="16" t="str">
        <x:f>IF(R113="","",IF(AND(R113=1,COUNTIF($AA$6:$AA$205,D113)&gt;0),1,0))</x:f>
      </x:c>
      <x:c r="V113" s="16" t="str">
        <x:f>IF(R113="","",IF(AND(R113=1,COUNTIFS('问题评论关联'!$C$6:$C$205,D113,'问题评论关联'!$G$6:$G$205,1)&gt;0),1,0))</x:f>
      </x:c>
      <x:c r="W113" s="16" t="str">
        <x:f>IF(S113="","",IF(AND(S113=1,COUNTIFS('问题评论关联'!$C$6:$C$205,D113,'问题评论关联'!$G$6:$G$205,1)&gt;0),1,0))</x:f>
      </x:c>
      <x:c r="X113" s="16" t="str">
        <x:f>IF(A113="","",IF(AND(C113="研究",OR(D113="",J113&lt;&gt;"已判定")),1,0))</x:f>
      </x:c>
      <x:c r="Y113" s="16" t="str">
        <x:f>IF(A113="","",IF(COUNTIF('批次记录'!$A$6:$A$17,B113)&lt;&gt;1,"批次缺失或重复",IF(COUNTIF('笔记筛选'!$A$6:$A$35,E113)&lt;&gt;1,"笔记缺失或重复",IF(AND(K113="是",COUNTIF('证据索引'!$A$6:$A$105,F113)&lt;&gt;1),"证据缺失或重复",""))))</x:f>
      </x:c>
      <x:c r="AA113" s="16" t="str">
        <x:f>IF(A113="","",IF(AND(C113="研究",T113=1),D113,""))</x:f>
      </x:c>
    </x:row>
    <x:row r="114" ht="36" customHeight="1">
      <x:c r="A114" s="11"/>
      <x:c r="B114" s="11"/>
      <x:c r="C114" s="11"/>
      <x:c r="D114" s="11"/>
      <x:c r="E114" s="11"/>
      <x:c r="F114" s="11"/>
      <x:c r="G114" s="17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6" t="str">
        <x:f>IF(A114="","",IF(C114="研究",1,0))</x:f>
      </x:c>
      <x:c r="R114" s="16" t="str">
        <x:f>IF(OR(A114="",C114&lt;&gt;"研究",D114="",J114&lt;&gt;"已判定"),"",IF(COUNTIFS($D$6:D114,D114,$C$6:C114,"研究",$J$6:J114,"已判定")=1,1,0))</x:f>
      </x:c>
      <x:c r="S114" s="16" t="str">
        <x:f>IF(OR(A114="",C114&lt;&gt;"研究",D114="",J114&lt;&gt;"已判定"),"",IF(COUNTIFS($D$6:D114,D114,$B$6:B114,B114,$C$6:C114,"研究",$J$6:J114,"已判定")=1,1,0))</x:f>
      </x:c>
      <x:c r="T114" s="16" t="str">
        <x:f>IF(A114="","",IF(AND(D114&lt;&gt;"",J114="已判定",K114="是",L114="是",COUNTIF('笔记筛选'!$A$6:$A$35,E114)=1,COUNTIF('批次记录'!$A$6:$A$17,B114)=1,COUNTIF('证据索引'!$A$6:$A$105,F114)=1),IF(AND(INDEX('笔记筛选'!$O$6:$O$35,MATCH(E114,'笔记筛选'!$A$6:$A$35,0))=1,INDEX('证据索引'!$H$6:$H$105,MATCH(F114,'证据索引'!$A$6:$A$105,0))="可定位",INDEX('证据索引'!$F$6:$F$105,MATCH(F114,'证据索引'!$A$6:$A$105,0))="是",INDEX('证据索引'!$B$6:$B$105,MATCH(F114,'证据索引'!$A$6:$A$105,0))=E114),1,0),0))</x:f>
      </x:c>
      <x:c r="U114" s="16" t="str">
        <x:f>IF(R114="","",IF(AND(R114=1,COUNTIF($AA$6:$AA$205,D114)&gt;0),1,0))</x:f>
      </x:c>
      <x:c r="V114" s="16" t="str">
        <x:f>IF(R114="","",IF(AND(R114=1,COUNTIFS('问题评论关联'!$C$6:$C$205,D114,'问题评论关联'!$G$6:$G$205,1)&gt;0),1,0))</x:f>
      </x:c>
      <x:c r="W114" s="16" t="str">
        <x:f>IF(S114="","",IF(AND(S114=1,COUNTIFS('问题评论关联'!$C$6:$C$205,D114,'问题评论关联'!$G$6:$G$205,1)&gt;0),1,0))</x:f>
      </x:c>
      <x:c r="X114" s="16" t="str">
        <x:f>IF(A114="","",IF(AND(C114="研究",OR(D114="",J114&lt;&gt;"已判定")),1,0))</x:f>
      </x:c>
      <x:c r="Y114" s="16" t="str">
        <x:f>IF(A114="","",IF(COUNTIF('批次记录'!$A$6:$A$17,B114)&lt;&gt;1,"批次缺失或重复",IF(COUNTIF('笔记筛选'!$A$6:$A$35,E114)&lt;&gt;1,"笔记缺失或重复",IF(AND(K114="是",COUNTIF('证据索引'!$A$6:$A$105,F114)&lt;&gt;1),"证据缺失或重复",""))))</x:f>
      </x:c>
      <x:c r="AA114" s="16" t="str">
        <x:f>IF(A114="","",IF(AND(C114="研究",T114=1),D114,""))</x:f>
      </x:c>
    </x:row>
    <x:row r="115" ht="36" customHeight="1">
      <x:c r="A115" s="11"/>
      <x:c r="B115" s="11"/>
      <x:c r="C115" s="11"/>
      <x:c r="D115" s="11"/>
      <x:c r="E115" s="11"/>
      <x:c r="F115" s="11"/>
      <x:c r="G115" s="17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6" t="str">
        <x:f>IF(A115="","",IF(C115="研究",1,0))</x:f>
      </x:c>
      <x:c r="R115" s="16" t="str">
        <x:f>IF(OR(A115="",C115&lt;&gt;"研究",D115="",J115&lt;&gt;"已判定"),"",IF(COUNTIFS($D$6:D115,D115,$C$6:C115,"研究",$J$6:J115,"已判定")=1,1,0))</x:f>
      </x:c>
      <x:c r="S115" s="16" t="str">
        <x:f>IF(OR(A115="",C115&lt;&gt;"研究",D115="",J115&lt;&gt;"已判定"),"",IF(COUNTIFS($D$6:D115,D115,$B$6:B115,B115,$C$6:C115,"研究",$J$6:J115,"已判定")=1,1,0))</x:f>
      </x:c>
      <x:c r="T115" s="16" t="str">
        <x:f>IF(A115="","",IF(AND(D115&lt;&gt;"",J115="已判定",K115="是",L115="是",COUNTIF('笔记筛选'!$A$6:$A$35,E115)=1,COUNTIF('批次记录'!$A$6:$A$17,B115)=1,COUNTIF('证据索引'!$A$6:$A$105,F115)=1),IF(AND(INDEX('笔记筛选'!$O$6:$O$35,MATCH(E115,'笔记筛选'!$A$6:$A$35,0))=1,INDEX('证据索引'!$H$6:$H$105,MATCH(F115,'证据索引'!$A$6:$A$105,0))="可定位",INDEX('证据索引'!$F$6:$F$105,MATCH(F115,'证据索引'!$A$6:$A$105,0))="是",INDEX('证据索引'!$B$6:$B$105,MATCH(F115,'证据索引'!$A$6:$A$105,0))=E115),1,0),0))</x:f>
      </x:c>
      <x:c r="U115" s="16" t="str">
        <x:f>IF(R115="","",IF(AND(R115=1,COUNTIF($AA$6:$AA$205,D115)&gt;0),1,0))</x:f>
      </x:c>
      <x:c r="V115" s="16" t="str">
        <x:f>IF(R115="","",IF(AND(R115=1,COUNTIFS('问题评论关联'!$C$6:$C$205,D115,'问题评论关联'!$G$6:$G$205,1)&gt;0),1,0))</x:f>
      </x:c>
      <x:c r="W115" s="16" t="str">
        <x:f>IF(S115="","",IF(AND(S115=1,COUNTIFS('问题评论关联'!$C$6:$C$205,D115,'问题评论关联'!$G$6:$G$205,1)&gt;0),1,0))</x:f>
      </x:c>
      <x:c r="X115" s="16" t="str">
        <x:f>IF(A115="","",IF(AND(C115="研究",OR(D115="",J115&lt;&gt;"已判定")),1,0))</x:f>
      </x:c>
      <x:c r="Y115" s="16" t="str">
        <x:f>IF(A115="","",IF(COUNTIF('批次记录'!$A$6:$A$17,B115)&lt;&gt;1,"批次缺失或重复",IF(COUNTIF('笔记筛选'!$A$6:$A$35,E115)&lt;&gt;1,"笔记缺失或重复",IF(AND(K115="是",COUNTIF('证据索引'!$A$6:$A$105,F115)&lt;&gt;1),"证据缺失或重复",""))))</x:f>
      </x:c>
      <x:c r="AA115" s="16" t="str">
        <x:f>IF(A115="","",IF(AND(C115="研究",T115=1),D115,""))</x:f>
      </x:c>
    </x:row>
    <x:row r="116" ht="36" customHeight="1">
      <x:c r="A116" s="11"/>
      <x:c r="B116" s="11"/>
      <x:c r="C116" s="11"/>
      <x:c r="D116" s="11"/>
      <x:c r="E116" s="11"/>
      <x:c r="F116" s="11"/>
      <x:c r="G116" s="17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6" t="str">
        <x:f>IF(A116="","",IF(C116="研究",1,0))</x:f>
      </x:c>
      <x:c r="R116" s="16" t="str">
        <x:f>IF(OR(A116="",C116&lt;&gt;"研究",D116="",J116&lt;&gt;"已判定"),"",IF(COUNTIFS($D$6:D116,D116,$C$6:C116,"研究",$J$6:J116,"已判定")=1,1,0))</x:f>
      </x:c>
      <x:c r="S116" s="16" t="str">
        <x:f>IF(OR(A116="",C116&lt;&gt;"研究",D116="",J116&lt;&gt;"已判定"),"",IF(COUNTIFS($D$6:D116,D116,$B$6:B116,B116,$C$6:C116,"研究",$J$6:J116,"已判定")=1,1,0))</x:f>
      </x:c>
      <x:c r="T116" s="16" t="str">
        <x:f>IF(A116="","",IF(AND(D116&lt;&gt;"",J116="已判定",K116="是",L116="是",COUNTIF('笔记筛选'!$A$6:$A$35,E116)=1,COUNTIF('批次记录'!$A$6:$A$17,B116)=1,COUNTIF('证据索引'!$A$6:$A$105,F116)=1),IF(AND(INDEX('笔记筛选'!$O$6:$O$35,MATCH(E116,'笔记筛选'!$A$6:$A$35,0))=1,INDEX('证据索引'!$H$6:$H$105,MATCH(F116,'证据索引'!$A$6:$A$105,0))="可定位",INDEX('证据索引'!$F$6:$F$105,MATCH(F116,'证据索引'!$A$6:$A$105,0))="是",INDEX('证据索引'!$B$6:$B$105,MATCH(F116,'证据索引'!$A$6:$A$105,0))=E116),1,0),0))</x:f>
      </x:c>
      <x:c r="U116" s="16" t="str">
        <x:f>IF(R116="","",IF(AND(R116=1,COUNTIF($AA$6:$AA$205,D116)&gt;0),1,0))</x:f>
      </x:c>
      <x:c r="V116" s="16" t="str">
        <x:f>IF(R116="","",IF(AND(R116=1,COUNTIFS('问题评论关联'!$C$6:$C$205,D116,'问题评论关联'!$G$6:$G$205,1)&gt;0),1,0))</x:f>
      </x:c>
      <x:c r="W116" s="16" t="str">
        <x:f>IF(S116="","",IF(AND(S116=1,COUNTIFS('问题评论关联'!$C$6:$C$205,D116,'问题评论关联'!$G$6:$G$205,1)&gt;0),1,0))</x:f>
      </x:c>
      <x:c r="X116" s="16" t="str">
        <x:f>IF(A116="","",IF(AND(C116="研究",OR(D116="",J116&lt;&gt;"已判定")),1,0))</x:f>
      </x:c>
      <x:c r="Y116" s="16" t="str">
        <x:f>IF(A116="","",IF(COUNTIF('批次记录'!$A$6:$A$17,B116)&lt;&gt;1,"批次缺失或重复",IF(COUNTIF('笔记筛选'!$A$6:$A$35,E116)&lt;&gt;1,"笔记缺失或重复",IF(AND(K116="是",COUNTIF('证据索引'!$A$6:$A$105,F116)&lt;&gt;1),"证据缺失或重复",""))))</x:f>
      </x:c>
      <x:c r="AA116" s="16" t="str">
        <x:f>IF(A116="","",IF(AND(C116="研究",T116=1),D116,""))</x:f>
      </x:c>
    </x:row>
    <x:row r="117" ht="36" customHeight="1">
      <x:c r="A117" s="11"/>
      <x:c r="B117" s="11"/>
      <x:c r="C117" s="11"/>
      <x:c r="D117" s="11"/>
      <x:c r="E117" s="11"/>
      <x:c r="F117" s="11"/>
      <x:c r="G117" s="17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6" t="str">
        <x:f>IF(A117="","",IF(C117="研究",1,0))</x:f>
      </x:c>
      <x:c r="R117" s="16" t="str">
        <x:f>IF(OR(A117="",C117&lt;&gt;"研究",D117="",J117&lt;&gt;"已判定"),"",IF(COUNTIFS($D$6:D117,D117,$C$6:C117,"研究",$J$6:J117,"已判定")=1,1,0))</x:f>
      </x:c>
      <x:c r="S117" s="16" t="str">
        <x:f>IF(OR(A117="",C117&lt;&gt;"研究",D117="",J117&lt;&gt;"已判定"),"",IF(COUNTIFS($D$6:D117,D117,$B$6:B117,B117,$C$6:C117,"研究",$J$6:J117,"已判定")=1,1,0))</x:f>
      </x:c>
      <x:c r="T117" s="16" t="str">
        <x:f>IF(A117="","",IF(AND(D117&lt;&gt;"",J117="已判定",K117="是",L117="是",COUNTIF('笔记筛选'!$A$6:$A$35,E117)=1,COUNTIF('批次记录'!$A$6:$A$17,B117)=1,COUNTIF('证据索引'!$A$6:$A$105,F117)=1),IF(AND(INDEX('笔记筛选'!$O$6:$O$35,MATCH(E117,'笔记筛选'!$A$6:$A$35,0))=1,INDEX('证据索引'!$H$6:$H$105,MATCH(F117,'证据索引'!$A$6:$A$105,0))="可定位",INDEX('证据索引'!$F$6:$F$105,MATCH(F117,'证据索引'!$A$6:$A$105,0))="是",INDEX('证据索引'!$B$6:$B$105,MATCH(F117,'证据索引'!$A$6:$A$105,0))=E117),1,0),0))</x:f>
      </x:c>
      <x:c r="U117" s="16" t="str">
        <x:f>IF(R117="","",IF(AND(R117=1,COUNTIF($AA$6:$AA$205,D117)&gt;0),1,0))</x:f>
      </x:c>
      <x:c r="V117" s="16" t="str">
        <x:f>IF(R117="","",IF(AND(R117=1,COUNTIFS('问题评论关联'!$C$6:$C$205,D117,'问题评论关联'!$G$6:$G$205,1)&gt;0),1,0))</x:f>
      </x:c>
      <x:c r="W117" s="16" t="str">
        <x:f>IF(S117="","",IF(AND(S117=1,COUNTIFS('问题评论关联'!$C$6:$C$205,D117,'问题评论关联'!$G$6:$G$205,1)&gt;0),1,0))</x:f>
      </x:c>
      <x:c r="X117" s="16" t="str">
        <x:f>IF(A117="","",IF(AND(C117="研究",OR(D117="",J117&lt;&gt;"已判定")),1,0))</x:f>
      </x:c>
      <x:c r="Y117" s="16" t="str">
        <x:f>IF(A117="","",IF(COUNTIF('批次记录'!$A$6:$A$17,B117)&lt;&gt;1,"批次缺失或重复",IF(COUNTIF('笔记筛选'!$A$6:$A$35,E117)&lt;&gt;1,"笔记缺失或重复",IF(AND(K117="是",COUNTIF('证据索引'!$A$6:$A$105,F117)&lt;&gt;1),"证据缺失或重复",""))))</x:f>
      </x:c>
      <x:c r="AA117" s="16" t="str">
        <x:f>IF(A117="","",IF(AND(C117="研究",T117=1),D117,""))</x:f>
      </x:c>
    </x:row>
    <x:row r="118" ht="36" customHeight="1">
      <x:c r="A118" s="11"/>
      <x:c r="B118" s="11"/>
      <x:c r="C118" s="11"/>
      <x:c r="D118" s="11"/>
      <x:c r="E118" s="11"/>
      <x:c r="F118" s="11"/>
      <x:c r="G118" s="17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6" t="str">
        <x:f>IF(A118="","",IF(C118="研究",1,0))</x:f>
      </x:c>
      <x:c r="R118" s="16" t="str">
        <x:f>IF(OR(A118="",C118&lt;&gt;"研究",D118="",J118&lt;&gt;"已判定"),"",IF(COUNTIFS($D$6:D118,D118,$C$6:C118,"研究",$J$6:J118,"已判定")=1,1,0))</x:f>
      </x:c>
      <x:c r="S118" s="16" t="str">
        <x:f>IF(OR(A118="",C118&lt;&gt;"研究",D118="",J118&lt;&gt;"已判定"),"",IF(COUNTIFS($D$6:D118,D118,$B$6:B118,B118,$C$6:C118,"研究",$J$6:J118,"已判定")=1,1,0))</x:f>
      </x:c>
      <x:c r="T118" s="16" t="str">
        <x:f>IF(A118="","",IF(AND(D118&lt;&gt;"",J118="已判定",K118="是",L118="是",COUNTIF('笔记筛选'!$A$6:$A$35,E118)=1,COUNTIF('批次记录'!$A$6:$A$17,B118)=1,COUNTIF('证据索引'!$A$6:$A$105,F118)=1),IF(AND(INDEX('笔记筛选'!$O$6:$O$35,MATCH(E118,'笔记筛选'!$A$6:$A$35,0))=1,INDEX('证据索引'!$H$6:$H$105,MATCH(F118,'证据索引'!$A$6:$A$105,0))="可定位",INDEX('证据索引'!$F$6:$F$105,MATCH(F118,'证据索引'!$A$6:$A$105,0))="是",INDEX('证据索引'!$B$6:$B$105,MATCH(F118,'证据索引'!$A$6:$A$105,0))=E118),1,0),0))</x:f>
      </x:c>
      <x:c r="U118" s="16" t="str">
        <x:f>IF(R118="","",IF(AND(R118=1,COUNTIF($AA$6:$AA$205,D118)&gt;0),1,0))</x:f>
      </x:c>
      <x:c r="V118" s="16" t="str">
        <x:f>IF(R118="","",IF(AND(R118=1,COUNTIFS('问题评论关联'!$C$6:$C$205,D118,'问题评论关联'!$G$6:$G$205,1)&gt;0),1,0))</x:f>
      </x:c>
      <x:c r="W118" s="16" t="str">
        <x:f>IF(S118="","",IF(AND(S118=1,COUNTIFS('问题评论关联'!$C$6:$C$205,D118,'问题评论关联'!$G$6:$G$205,1)&gt;0),1,0))</x:f>
      </x:c>
      <x:c r="X118" s="16" t="str">
        <x:f>IF(A118="","",IF(AND(C118="研究",OR(D118="",J118&lt;&gt;"已判定")),1,0))</x:f>
      </x:c>
      <x:c r="Y118" s="16" t="str">
        <x:f>IF(A118="","",IF(COUNTIF('批次记录'!$A$6:$A$17,B118)&lt;&gt;1,"批次缺失或重复",IF(COUNTIF('笔记筛选'!$A$6:$A$35,E118)&lt;&gt;1,"笔记缺失或重复",IF(AND(K118="是",COUNTIF('证据索引'!$A$6:$A$105,F118)&lt;&gt;1),"证据缺失或重复",""))))</x:f>
      </x:c>
      <x:c r="AA118" s="16" t="str">
        <x:f>IF(A118="","",IF(AND(C118="研究",T118=1),D118,""))</x:f>
      </x:c>
    </x:row>
    <x:row r="119" ht="36" customHeight="1">
      <x:c r="A119" s="11"/>
      <x:c r="B119" s="11"/>
      <x:c r="C119" s="11"/>
      <x:c r="D119" s="11"/>
      <x:c r="E119" s="11"/>
      <x:c r="F119" s="11"/>
      <x:c r="G119" s="17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6" t="str">
        <x:f>IF(A119="","",IF(C119="研究",1,0))</x:f>
      </x:c>
      <x:c r="R119" s="16" t="str">
        <x:f>IF(OR(A119="",C119&lt;&gt;"研究",D119="",J119&lt;&gt;"已判定"),"",IF(COUNTIFS($D$6:D119,D119,$C$6:C119,"研究",$J$6:J119,"已判定")=1,1,0))</x:f>
      </x:c>
      <x:c r="S119" s="16" t="str">
        <x:f>IF(OR(A119="",C119&lt;&gt;"研究",D119="",J119&lt;&gt;"已判定"),"",IF(COUNTIFS($D$6:D119,D119,$B$6:B119,B119,$C$6:C119,"研究",$J$6:J119,"已判定")=1,1,0))</x:f>
      </x:c>
      <x:c r="T119" s="16" t="str">
        <x:f>IF(A119="","",IF(AND(D119&lt;&gt;"",J119="已判定",K119="是",L119="是",COUNTIF('笔记筛选'!$A$6:$A$35,E119)=1,COUNTIF('批次记录'!$A$6:$A$17,B119)=1,COUNTIF('证据索引'!$A$6:$A$105,F119)=1),IF(AND(INDEX('笔记筛选'!$O$6:$O$35,MATCH(E119,'笔记筛选'!$A$6:$A$35,0))=1,INDEX('证据索引'!$H$6:$H$105,MATCH(F119,'证据索引'!$A$6:$A$105,0))="可定位",INDEX('证据索引'!$F$6:$F$105,MATCH(F119,'证据索引'!$A$6:$A$105,0))="是",INDEX('证据索引'!$B$6:$B$105,MATCH(F119,'证据索引'!$A$6:$A$105,0))=E119),1,0),0))</x:f>
      </x:c>
      <x:c r="U119" s="16" t="str">
        <x:f>IF(R119="","",IF(AND(R119=1,COUNTIF($AA$6:$AA$205,D119)&gt;0),1,0))</x:f>
      </x:c>
      <x:c r="V119" s="16" t="str">
        <x:f>IF(R119="","",IF(AND(R119=1,COUNTIFS('问题评论关联'!$C$6:$C$205,D119,'问题评论关联'!$G$6:$G$205,1)&gt;0),1,0))</x:f>
      </x:c>
      <x:c r="W119" s="16" t="str">
        <x:f>IF(S119="","",IF(AND(S119=1,COUNTIFS('问题评论关联'!$C$6:$C$205,D119,'问题评论关联'!$G$6:$G$205,1)&gt;0),1,0))</x:f>
      </x:c>
      <x:c r="X119" s="16" t="str">
        <x:f>IF(A119="","",IF(AND(C119="研究",OR(D119="",J119&lt;&gt;"已判定")),1,0))</x:f>
      </x:c>
      <x:c r="Y119" s="16" t="str">
        <x:f>IF(A119="","",IF(COUNTIF('批次记录'!$A$6:$A$17,B119)&lt;&gt;1,"批次缺失或重复",IF(COUNTIF('笔记筛选'!$A$6:$A$35,E119)&lt;&gt;1,"笔记缺失或重复",IF(AND(K119="是",COUNTIF('证据索引'!$A$6:$A$105,F119)&lt;&gt;1),"证据缺失或重复",""))))</x:f>
      </x:c>
      <x:c r="AA119" s="16" t="str">
        <x:f>IF(A119="","",IF(AND(C119="研究",T119=1),D119,""))</x:f>
      </x:c>
    </x:row>
    <x:row r="120" ht="36" customHeight="1">
      <x:c r="A120" s="11"/>
      <x:c r="B120" s="11"/>
      <x:c r="C120" s="11"/>
      <x:c r="D120" s="11"/>
      <x:c r="E120" s="11"/>
      <x:c r="F120" s="11"/>
      <x:c r="G120" s="17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6" t="str">
        <x:f>IF(A120="","",IF(C120="研究",1,0))</x:f>
      </x:c>
      <x:c r="R120" s="16" t="str">
        <x:f>IF(OR(A120="",C120&lt;&gt;"研究",D120="",J120&lt;&gt;"已判定"),"",IF(COUNTIFS($D$6:D120,D120,$C$6:C120,"研究",$J$6:J120,"已判定")=1,1,0))</x:f>
      </x:c>
      <x:c r="S120" s="16" t="str">
        <x:f>IF(OR(A120="",C120&lt;&gt;"研究",D120="",J120&lt;&gt;"已判定"),"",IF(COUNTIFS($D$6:D120,D120,$B$6:B120,B120,$C$6:C120,"研究",$J$6:J120,"已判定")=1,1,0))</x:f>
      </x:c>
      <x:c r="T120" s="16" t="str">
        <x:f>IF(A120="","",IF(AND(D120&lt;&gt;"",J120="已判定",K120="是",L120="是",COUNTIF('笔记筛选'!$A$6:$A$35,E120)=1,COUNTIF('批次记录'!$A$6:$A$17,B120)=1,COUNTIF('证据索引'!$A$6:$A$105,F120)=1),IF(AND(INDEX('笔记筛选'!$O$6:$O$35,MATCH(E120,'笔记筛选'!$A$6:$A$35,0))=1,INDEX('证据索引'!$H$6:$H$105,MATCH(F120,'证据索引'!$A$6:$A$105,0))="可定位",INDEX('证据索引'!$F$6:$F$105,MATCH(F120,'证据索引'!$A$6:$A$105,0))="是",INDEX('证据索引'!$B$6:$B$105,MATCH(F120,'证据索引'!$A$6:$A$105,0))=E120),1,0),0))</x:f>
      </x:c>
      <x:c r="U120" s="16" t="str">
        <x:f>IF(R120="","",IF(AND(R120=1,COUNTIF($AA$6:$AA$205,D120)&gt;0),1,0))</x:f>
      </x:c>
      <x:c r="V120" s="16" t="str">
        <x:f>IF(R120="","",IF(AND(R120=1,COUNTIFS('问题评论关联'!$C$6:$C$205,D120,'问题评论关联'!$G$6:$G$205,1)&gt;0),1,0))</x:f>
      </x:c>
      <x:c r="W120" s="16" t="str">
        <x:f>IF(S120="","",IF(AND(S120=1,COUNTIFS('问题评论关联'!$C$6:$C$205,D120,'问题评论关联'!$G$6:$G$205,1)&gt;0),1,0))</x:f>
      </x:c>
      <x:c r="X120" s="16" t="str">
        <x:f>IF(A120="","",IF(AND(C120="研究",OR(D120="",J120&lt;&gt;"已判定")),1,0))</x:f>
      </x:c>
      <x:c r="Y120" s="16" t="str">
        <x:f>IF(A120="","",IF(COUNTIF('批次记录'!$A$6:$A$17,B120)&lt;&gt;1,"批次缺失或重复",IF(COUNTIF('笔记筛选'!$A$6:$A$35,E120)&lt;&gt;1,"笔记缺失或重复",IF(AND(K120="是",COUNTIF('证据索引'!$A$6:$A$105,F120)&lt;&gt;1),"证据缺失或重复",""))))</x:f>
      </x:c>
      <x:c r="AA120" s="16" t="str">
        <x:f>IF(A120="","",IF(AND(C120="研究",T120=1),D120,""))</x:f>
      </x:c>
    </x:row>
    <x:row r="121" ht="36" customHeight="1">
      <x:c r="A121" s="11"/>
      <x:c r="B121" s="11"/>
      <x:c r="C121" s="11"/>
      <x:c r="D121" s="11"/>
      <x:c r="E121" s="11"/>
      <x:c r="F121" s="11"/>
      <x:c r="G121" s="17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6" t="str">
        <x:f>IF(A121="","",IF(C121="研究",1,0))</x:f>
      </x:c>
      <x:c r="R121" s="16" t="str">
        <x:f>IF(OR(A121="",C121&lt;&gt;"研究",D121="",J121&lt;&gt;"已判定"),"",IF(COUNTIFS($D$6:D121,D121,$C$6:C121,"研究",$J$6:J121,"已判定")=1,1,0))</x:f>
      </x:c>
      <x:c r="S121" s="16" t="str">
        <x:f>IF(OR(A121="",C121&lt;&gt;"研究",D121="",J121&lt;&gt;"已判定"),"",IF(COUNTIFS($D$6:D121,D121,$B$6:B121,B121,$C$6:C121,"研究",$J$6:J121,"已判定")=1,1,0))</x:f>
      </x:c>
      <x:c r="T121" s="16" t="str">
        <x:f>IF(A121="","",IF(AND(D121&lt;&gt;"",J121="已判定",K121="是",L121="是",COUNTIF('笔记筛选'!$A$6:$A$35,E121)=1,COUNTIF('批次记录'!$A$6:$A$17,B121)=1,COUNTIF('证据索引'!$A$6:$A$105,F121)=1),IF(AND(INDEX('笔记筛选'!$O$6:$O$35,MATCH(E121,'笔记筛选'!$A$6:$A$35,0))=1,INDEX('证据索引'!$H$6:$H$105,MATCH(F121,'证据索引'!$A$6:$A$105,0))="可定位",INDEX('证据索引'!$F$6:$F$105,MATCH(F121,'证据索引'!$A$6:$A$105,0))="是",INDEX('证据索引'!$B$6:$B$105,MATCH(F121,'证据索引'!$A$6:$A$105,0))=E121),1,0),0))</x:f>
      </x:c>
      <x:c r="U121" s="16" t="str">
        <x:f>IF(R121="","",IF(AND(R121=1,COUNTIF($AA$6:$AA$205,D121)&gt;0),1,0))</x:f>
      </x:c>
      <x:c r="V121" s="16" t="str">
        <x:f>IF(R121="","",IF(AND(R121=1,COUNTIFS('问题评论关联'!$C$6:$C$205,D121,'问题评论关联'!$G$6:$G$205,1)&gt;0),1,0))</x:f>
      </x:c>
      <x:c r="W121" s="16" t="str">
        <x:f>IF(S121="","",IF(AND(S121=1,COUNTIFS('问题评论关联'!$C$6:$C$205,D121,'问题评论关联'!$G$6:$G$205,1)&gt;0),1,0))</x:f>
      </x:c>
      <x:c r="X121" s="16" t="str">
        <x:f>IF(A121="","",IF(AND(C121="研究",OR(D121="",J121&lt;&gt;"已判定")),1,0))</x:f>
      </x:c>
      <x:c r="Y121" s="16" t="str">
        <x:f>IF(A121="","",IF(COUNTIF('批次记录'!$A$6:$A$17,B121)&lt;&gt;1,"批次缺失或重复",IF(COUNTIF('笔记筛选'!$A$6:$A$35,E121)&lt;&gt;1,"笔记缺失或重复",IF(AND(K121="是",COUNTIF('证据索引'!$A$6:$A$105,F121)&lt;&gt;1),"证据缺失或重复",""))))</x:f>
      </x:c>
      <x:c r="AA121" s="16" t="str">
        <x:f>IF(A121="","",IF(AND(C121="研究",T121=1),D121,""))</x:f>
      </x:c>
    </x:row>
    <x:row r="122" ht="36" customHeight="1">
      <x:c r="A122" s="11"/>
      <x:c r="B122" s="11"/>
      <x:c r="C122" s="11"/>
      <x:c r="D122" s="11"/>
      <x:c r="E122" s="11"/>
      <x:c r="F122" s="11"/>
      <x:c r="G122" s="17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6" t="str">
        <x:f>IF(A122="","",IF(C122="研究",1,0))</x:f>
      </x:c>
      <x:c r="R122" s="16" t="str">
        <x:f>IF(OR(A122="",C122&lt;&gt;"研究",D122="",J122&lt;&gt;"已判定"),"",IF(COUNTIFS($D$6:D122,D122,$C$6:C122,"研究",$J$6:J122,"已判定")=1,1,0))</x:f>
      </x:c>
      <x:c r="S122" s="16" t="str">
        <x:f>IF(OR(A122="",C122&lt;&gt;"研究",D122="",J122&lt;&gt;"已判定"),"",IF(COUNTIFS($D$6:D122,D122,$B$6:B122,B122,$C$6:C122,"研究",$J$6:J122,"已判定")=1,1,0))</x:f>
      </x:c>
      <x:c r="T122" s="16" t="str">
        <x:f>IF(A122="","",IF(AND(D122&lt;&gt;"",J122="已判定",K122="是",L122="是",COUNTIF('笔记筛选'!$A$6:$A$35,E122)=1,COUNTIF('批次记录'!$A$6:$A$17,B122)=1,COUNTIF('证据索引'!$A$6:$A$105,F122)=1),IF(AND(INDEX('笔记筛选'!$O$6:$O$35,MATCH(E122,'笔记筛选'!$A$6:$A$35,0))=1,INDEX('证据索引'!$H$6:$H$105,MATCH(F122,'证据索引'!$A$6:$A$105,0))="可定位",INDEX('证据索引'!$F$6:$F$105,MATCH(F122,'证据索引'!$A$6:$A$105,0))="是",INDEX('证据索引'!$B$6:$B$105,MATCH(F122,'证据索引'!$A$6:$A$105,0))=E122),1,0),0))</x:f>
      </x:c>
      <x:c r="U122" s="16" t="str">
        <x:f>IF(R122="","",IF(AND(R122=1,COUNTIF($AA$6:$AA$205,D122)&gt;0),1,0))</x:f>
      </x:c>
      <x:c r="V122" s="16" t="str">
        <x:f>IF(R122="","",IF(AND(R122=1,COUNTIFS('问题评论关联'!$C$6:$C$205,D122,'问题评论关联'!$G$6:$G$205,1)&gt;0),1,0))</x:f>
      </x:c>
      <x:c r="W122" s="16" t="str">
        <x:f>IF(S122="","",IF(AND(S122=1,COUNTIFS('问题评论关联'!$C$6:$C$205,D122,'问题评论关联'!$G$6:$G$205,1)&gt;0),1,0))</x:f>
      </x:c>
      <x:c r="X122" s="16" t="str">
        <x:f>IF(A122="","",IF(AND(C122="研究",OR(D122="",J122&lt;&gt;"已判定")),1,0))</x:f>
      </x:c>
      <x:c r="Y122" s="16" t="str">
        <x:f>IF(A122="","",IF(COUNTIF('批次记录'!$A$6:$A$17,B122)&lt;&gt;1,"批次缺失或重复",IF(COUNTIF('笔记筛选'!$A$6:$A$35,E122)&lt;&gt;1,"笔记缺失或重复",IF(AND(K122="是",COUNTIF('证据索引'!$A$6:$A$105,F122)&lt;&gt;1),"证据缺失或重复",""))))</x:f>
      </x:c>
      <x:c r="AA122" s="16" t="str">
        <x:f>IF(A122="","",IF(AND(C122="研究",T122=1),D122,""))</x:f>
      </x:c>
    </x:row>
    <x:row r="123" ht="36" customHeight="1">
      <x:c r="A123" s="11"/>
      <x:c r="B123" s="11"/>
      <x:c r="C123" s="11"/>
      <x:c r="D123" s="11"/>
      <x:c r="E123" s="11"/>
      <x:c r="F123" s="11"/>
      <x:c r="G123" s="17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6" t="str">
        <x:f>IF(A123="","",IF(C123="研究",1,0))</x:f>
      </x:c>
      <x:c r="R123" s="16" t="str">
        <x:f>IF(OR(A123="",C123&lt;&gt;"研究",D123="",J123&lt;&gt;"已判定"),"",IF(COUNTIFS($D$6:D123,D123,$C$6:C123,"研究",$J$6:J123,"已判定")=1,1,0))</x:f>
      </x:c>
      <x:c r="S123" s="16" t="str">
        <x:f>IF(OR(A123="",C123&lt;&gt;"研究",D123="",J123&lt;&gt;"已判定"),"",IF(COUNTIFS($D$6:D123,D123,$B$6:B123,B123,$C$6:C123,"研究",$J$6:J123,"已判定")=1,1,0))</x:f>
      </x:c>
      <x:c r="T123" s="16" t="str">
        <x:f>IF(A123="","",IF(AND(D123&lt;&gt;"",J123="已判定",K123="是",L123="是",COUNTIF('笔记筛选'!$A$6:$A$35,E123)=1,COUNTIF('批次记录'!$A$6:$A$17,B123)=1,COUNTIF('证据索引'!$A$6:$A$105,F123)=1),IF(AND(INDEX('笔记筛选'!$O$6:$O$35,MATCH(E123,'笔记筛选'!$A$6:$A$35,0))=1,INDEX('证据索引'!$H$6:$H$105,MATCH(F123,'证据索引'!$A$6:$A$105,0))="可定位",INDEX('证据索引'!$F$6:$F$105,MATCH(F123,'证据索引'!$A$6:$A$105,0))="是",INDEX('证据索引'!$B$6:$B$105,MATCH(F123,'证据索引'!$A$6:$A$105,0))=E123),1,0),0))</x:f>
      </x:c>
      <x:c r="U123" s="16" t="str">
        <x:f>IF(R123="","",IF(AND(R123=1,COUNTIF($AA$6:$AA$205,D123)&gt;0),1,0))</x:f>
      </x:c>
      <x:c r="V123" s="16" t="str">
        <x:f>IF(R123="","",IF(AND(R123=1,COUNTIFS('问题评论关联'!$C$6:$C$205,D123,'问题评论关联'!$G$6:$G$205,1)&gt;0),1,0))</x:f>
      </x:c>
      <x:c r="W123" s="16" t="str">
        <x:f>IF(S123="","",IF(AND(S123=1,COUNTIFS('问题评论关联'!$C$6:$C$205,D123,'问题评论关联'!$G$6:$G$205,1)&gt;0),1,0))</x:f>
      </x:c>
      <x:c r="X123" s="16" t="str">
        <x:f>IF(A123="","",IF(AND(C123="研究",OR(D123="",J123&lt;&gt;"已判定")),1,0))</x:f>
      </x:c>
      <x:c r="Y123" s="16" t="str">
        <x:f>IF(A123="","",IF(COUNTIF('批次记录'!$A$6:$A$17,B123)&lt;&gt;1,"批次缺失或重复",IF(COUNTIF('笔记筛选'!$A$6:$A$35,E123)&lt;&gt;1,"笔记缺失或重复",IF(AND(K123="是",COUNTIF('证据索引'!$A$6:$A$105,F123)&lt;&gt;1),"证据缺失或重复",""))))</x:f>
      </x:c>
      <x:c r="AA123" s="16" t="str">
        <x:f>IF(A123="","",IF(AND(C123="研究",T123=1),D123,""))</x:f>
      </x:c>
    </x:row>
    <x:row r="124" ht="36" customHeight="1">
      <x:c r="A124" s="11"/>
      <x:c r="B124" s="11"/>
      <x:c r="C124" s="11"/>
      <x:c r="D124" s="11"/>
      <x:c r="E124" s="11"/>
      <x:c r="F124" s="11"/>
      <x:c r="G124" s="17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6" t="str">
        <x:f>IF(A124="","",IF(C124="研究",1,0))</x:f>
      </x:c>
      <x:c r="R124" s="16" t="str">
        <x:f>IF(OR(A124="",C124&lt;&gt;"研究",D124="",J124&lt;&gt;"已判定"),"",IF(COUNTIFS($D$6:D124,D124,$C$6:C124,"研究",$J$6:J124,"已判定")=1,1,0))</x:f>
      </x:c>
      <x:c r="S124" s="16" t="str">
        <x:f>IF(OR(A124="",C124&lt;&gt;"研究",D124="",J124&lt;&gt;"已判定"),"",IF(COUNTIFS($D$6:D124,D124,$B$6:B124,B124,$C$6:C124,"研究",$J$6:J124,"已判定")=1,1,0))</x:f>
      </x:c>
      <x:c r="T124" s="16" t="str">
        <x:f>IF(A124="","",IF(AND(D124&lt;&gt;"",J124="已判定",K124="是",L124="是",COUNTIF('笔记筛选'!$A$6:$A$35,E124)=1,COUNTIF('批次记录'!$A$6:$A$17,B124)=1,COUNTIF('证据索引'!$A$6:$A$105,F124)=1),IF(AND(INDEX('笔记筛选'!$O$6:$O$35,MATCH(E124,'笔记筛选'!$A$6:$A$35,0))=1,INDEX('证据索引'!$H$6:$H$105,MATCH(F124,'证据索引'!$A$6:$A$105,0))="可定位",INDEX('证据索引'!$F$6:$F$105,MATCH(F124,'证据索引'!$A$6:$A$105,0))="是",INDEX('证据索引'!$B$6:$B$105,MATCH(F124,'证据索引'!$A$6:$A$105,0))=E124),1,0),0))</x:f>
      </x:c>
      <x:c r="U124" s="16" t="str">
        <x:f>IF(R124="","",IF(AND(R124=1,COUNTIF($AA$6:$AA$205,D124)&gt;0),1,0))</x:f>
      </x:c>
      <x:c r="V124" s="16" t="str">
        <x:f>IF(R124="","",IF(AND(R124=1,COUNTIFS('问题评论关联'!$C$6:$C$205,D124,'问题评论关联'!$G$6:$G$205,1)&gt;0),1,0))</x:f>
      </x:c>
      <x:c r="W124" s="16" t="str">
        <x:f>IF(S124="","",IF(AND(S124=1,COUNTIFS('问题评论关联'!$C$6:$C$205,D124,'问题评论关联'!$G$6:$G$205,1)&gt;0),1,0))</x:f>
      </x:c>
      <x:c r="X124" s="16" t="str">
        <x:f>IF(A124="","",IF(AND(C124="研究",OR(D124="",J124&lt;&gt;"已判定")),1,0))</x:f>
      </x:c>
      <x:c r="Y124" s="16" t="str">
        <x:f>IF(A124="","",IF(COUNTIF('批次记录'!$A$6:$A$17,B124)&lt;&gt;1,"批次缺失或重复",IF(COUNTIF('笔记筛选'!$A$6:$A$35,E124)&lt;&gt;1,"笔记缺失或重复",IF(AND(K124="是",COUNTIF('证据索引'!$A$6:$A$105,F124)&lt;&gt;1),"证据缺失或重复",""))))</x:f>
      </x:c>
      <x:c r="AA124" s="16" t="str">
        <x:f>IF(A124="","",IF(AND(C124="研究",T124=1),D124,""))</x:f>
      </x:c>
    </x:row>
    <x:row r="125" ht="36" customHeight="1">
      <x:c r="A125" s="11"/>
      <x:c r="B125" s="11"/>
      <x:c r="C125" s="11"/>
      <x:c r="D125" s="11"/>
      <x:c r="E125" s="11"/>
      <x:c r="F125" s="11"/>
      <x:c r="G125" s="17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6" t="str">
        <x:f>IF(A125="","",IF(C125="研究",1,0))</x:f>
      </x:c>
      <x:c r="R125" s="16" t="str">
        <x:f>IF(OR(A125="",C125&lt;&gt;"研究",D125="",J125&lt;&gt;"已判定"),"",IF(COUNTIFS($D$6:D125,D125,$C$6:C125,"研究",$J$6:J125,"已判定")=1,1,0))</x:f>
      </x:c>
      <x:c r="S125" s="16" t="str">
        <x:f>IF(OR(A125="",C125&lt;&gt;"研究",D125="",J125&lt;&gt;"已判定"),"",IF(COUNTIFS($D$6:D125,D125,$B$6:B125,B125,$C$6:C125,"研究",$J$6:J125,"已判定")=1,1,0))</x:f>
      </x:c>
      <x:c r="T125" s="16" t="str">
        <x:f>IF(A125="","",IF(AND(D125&lt;&gt;"",J125="已判定",K125="是",L125="是",COUNTIF('笔记筛选'!$A$6:$A$35,E125)=1,COUNTIF('批次记录'!$A$6:$A$17,B125)=1,COUNTIF('证据索引'!$A$6:$A$105,F125)=1),IF(AND(INDEX('笔记筛选'!$O$6:$O$35,MATCH(E125,'笔记筛选'!$A$6:$A$35,0))=1,INDEX('证据索引'!$H$6:$H$105,MATCH(F125,'证据索引'!$A$6:$A$105,0))="可定位",INDEX('证据索引'!$F$6:$F$105,MATCH(F125,'证据索引'!$A$6:$A$105,0))="是",INDEX('证据索引'!$B$6:$B$105,MATCH(F125,'证据索引'!$A$6:$A$105,0))=E125),1,0),0))</x:f>
      </x:c>
      <x:c r="U125" s="16" t="str">
        <x:f>IF(R125="","",IF(AND(R125=1,COUNTIF($AA$6:$AA$205,D125)&gt;0),1,0))</x:f>
      </x:c>
      <x:c r="V125" s="16" t="str">
        <x:f>IF(R125="","",IF(AND(R125=1,COUNTIFS('问题评论关联'!$C$6:$C$205,D125,'问题评论关联'!$G$6:$G$205,1)&gt;0),1,0))</x:f>
      </x:c>
      <x:c r="W125" s="16" t="str">
        <x:f>IF(S125="","",IF(AND(S125=1,COUNTIFS('问题评论关联'!$C$6:$C$205,D125,'问题评论关联'!$G$6:$G$205,1)&gt;0),1,0))</x:f>
      </x:c>
      <x:c r="X125" s="16" t="str">
        <x:f>IF(A125="","",IF(AND(C125="研究",OR(D125="",J125&lt;&gt;"已判定")),1,0))</x:f>
      </x:c>
      <x:c r="Y125" s="16" t="str">
        <x:f>IF(A125="","",IF(COUNTIF('批次记录'!$A$6:$A$17,B125)&lt;&gt;1,"批次缺失或重复",IF(COUNTIF('笔记筛选'!$A$6:$A$35,E125)&lt;&gt;1,"笔记缺失或重复",IF(AND(K125="是",COUNTIF('证据索引'!$A$6:$A$105,F125)&lt;&gt;1),"证据缺失或重复",""))))</x:f>
      </x:c>
      <x:c r="AA125" s="16" t="str">
        <x:f>IF(A125="","",IF(AND(C125="研究",T125=1),D125,""))</x:f>
      </x:c>
    </x:row>
    <x:row r="126" ht="36" customHeight="1">
      <x:c r="A126" s="11"/>
      <x:c r="B126" s="11"/>
      <x:c r="C126" s="11"/>
      <x:c r="D126" s="11"/>
      <x:c r="E126" s="11"/>
      <x:c r="F126" s="11"/>
      <x:c r="G126" s="17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6" t="str">
        <x:f>IF(A126="","",IF(C126="研究",1,0))</x:f>
      </x:c>
      <x:c r="R126" s="16" t="str">
        <x:f>IF(OR(A126="",C126&lt;&gt;"研究",D126="",J126&lt;&gt;"已判定"),"",IF(COUNTIFS($D$6:D126,D126,$C$6:C126,"研究",$J$6:J126,"已判定")=1,1,0))</x:f>
      </x:c>
      <x:c r="S126" s="16" t="str">
        <x:f>IF(OR(A126="",C126&lt;&gt;"研究",D126="",J126&lt;&gt;"已判定"),"",IF(COUNTIFS($D$6:D126,D126,$B$6:B126,B126,$C$6:C126,"研究",$J$6:J126,"已判定")=1,1,0))</x:f>
      </x:c>
      <x:c r="T126" s="16" t="str">
        <x:f>IF(A126="","",IF(AND(D126&lt;&gt;"",J126="已判定",K126="是",L126="是",COUNTIF('笔记筛选'!$A$6:$A$35,E126)=1,COUNTIF('批次记录'!$A$6:$A$17,B126)=1,COUNTIF('证据索引'!$A$6:$A$105,F126)=1),IF(AND(INDEX('笔记筛选'!$O$6:$O$35,MATCH(E126,'笔记筛选'!$A$6:$A$35,0))=1,INDEX('证据索引'!$H$6:$H$105,MATCH(F126,'证据索引'!$A$6:$A$105,0))="可定位",INDEX('证据索引'!$F$6:$F$105,MATCH(F126,'证据索引'!$A$6:$A$105,0))="是",INDEX('证据索引'!$B$6:$B$105,MATCH(F126,'证据索引'!$A$6:$A$105,0))=E126),1,0),0))</x:f>
      </x:c>
      <x:c r="U126" s="16" t="str">
        <x:f>IF(R126="","",IF(AND(R126=1,COUNTIF($AA$6:$AA$205,D126)&gt;0),1,0))</x:f>
      </x:c>
      <x:c r="V126" s="16" t="str">
        <x:f>IF(R126="","",IF(AND(R126=1,COUNTIFS('问题评论关联'!$C$6:$C$205,D126,'问题评论关联'!$G$6:$G$205,1)&gt;0),1,0))</x:f>
      </x:c>
      <x:c r="W126" s="16" t="str">
        <x:f>IF(S126="","",IF(AND(S126=1,COUNTIFS('问题评论关联'!$C$6:$C$205,D126,'问题评论关联'!$G$6:$G$205,1)&gt;0),1,0))</x:f>
      </x:c>
      <x:c r="X126" s="16" t="str">
        <x:f>IF(A126="","",IF(AND(C126="研究",OR(D126="",J126&lt;&gt;"已判定")),1,0))</x:f>
      </x:c>
      <x:c r="Y126" s="16" t="str">
        <x:f>IF(A126="","",IF(COUNTIF('批次记录'!$A$6:$A$17,B126)&lt;&gt;1,"批次缺失或重复",IF(COUNTIF('笔记筛选'!$A$6:$A$35,E126)&lt;&gt;1,"笔记缺失或重复",IF(AND(K126="是",COUNTIF('证据索引'!$A$6:$A$105,F126)&lt;&gt;1),"证据缺失或重复",""))))</x:f>
      </x:c>
      <x:c r="AA126" s="16" t="str">
        <x:f>IF(A126="","",IF(AND(C126="研究",T126=1),D126,""))</x:f>
      </x:c>
    </x:row>
    <x:row r="127" ht="36" customHeight="1">
      <x:c r="A127" s="11"/>
      <x:c r="B127" s="11"/>
      <x:c r="C127" s="11"/>
      <x:c r="D127" s="11"/>
      <x:c r="E127" s="11"/>
      <x:c r="F127" s="11"/>
      <x:c r="G127" s="17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6" t="str">
        <x:f>IF(A127="","",IF(C127="研究",1,0))</x:f>
      </x:c>
      <x:c r="R127" s="16" t="str">
        <x:f>IF(OR(A127="",C127&lt;&gt;"研究",D127="",J127&lt;&gt;"已判定"),"",IF(COUNTIFS($D$6:D127,D127,$C$6:C127,"研究",$J$6:J127,"已判定")=1,1,0))</x:f>
      </x:c>
      <x:c r="S127" s="16" t="str">
        <x:f>IF(OR(A127="",C127&lt;&gt;"研究",D127="",J127&lt;&gt;"已判定"),"",IF(COUNTIFS($D$6:D127,D127,$B$6:B127,B127,$C$6:C127,"研究",$J$6:J127,"已判定")=1,1,0))</x:f>
      </x:c>
      <x:c r="T127" s="16" t="str">
        <x:f>IF(A127="","",IF(AND(D127&lt;&gt;"",J127="已判定",K127="是",L127="是",COUNTIF('笔记筛选'!$A$6:$A$35,E127)=1,COUNTIF('批次记录'!$A$6:$A$17,B127)=1,COUNTIF('证据索引'!$A$6:$A$105,F127)=1),IF(AND(INDEX('笔记筛选'!$O$6:$O$35,MATCH(E127,'笔记筛选'!$A$6:$A$35,0))=1,INDEX('证据索引'!$H$6:$H$105,MATCH(F127,'证据索引'!$A$6:$A$105,0))="可定位",INDEX('证据索引'!$F$6:$F$105,MATCH(F127,'证据索引'!$A$6:$A$105,0))="是",INDEX('证据索引'!$B$6:$B$105,MATCH(F127,'证据索引'!$A$6:$A$105,0))=E127),1,0),0))</x:f>
      </x:c>
      <x:c r="U127" s="16" t="str">
        <x:f>IF(R127="","",IF(AND(R127=1,COUNTIF($AA$6:$AA$205,D127)&gt;0),1,0))</x:f>
      </x:c>
      <x:c r="V127" s="16" t="str">
        <x:f>IF(R127="","",IF(AND(R127=1,COUNTIFS('问题评论关联'!$C$6:$C$205,D127,'问题评论关联'!$G$6:$G$205,1)&gt;0),1,0))</x:f>
      </x:c>
      <x:c r="W127" s="16" t="str">
        <x:f>IF(S127="","",IF(AND(S127=1,COUNTIFS('问题评论关联'!$C$6:$C$205,D127,'问题评论关联'!$G$6:$G$205,1)&gt;0),1,0))</x:f>
      </x:c>
      <x:c r="X127" s="16" t="str">
        <x:f>IF(A127="","",IF(AND(C127="研究",OR(D127="",J127&lt;&gt;"已判定")),1,0))</x:f>
      </x:c>
      <x:c r="Y127" s="16" t="str">
        <x:f>IF(A127="","",IF(COUNTIF('批次记录'!$A$6:$A$17,B127)&lt;&gt;1,"批次缺失或重复",IF(COUNTIF('笔记筛选'!$A$6:$A$35,E127)&lt;&gt;1,"笔记缺失或重复",IF(AND(K127="是",COUNTIF('证据索引'!$A$6:$A$105,F127)&lt;&gt;1),"证据缺失或重复",""))))</x:f>
      </x:c>
      <x:c r="AA127" s="16" t="str">
        <x:f>IF(A127="","",IF(AND(C127="研究",T127=1),D127,""))</x:f>
      </x:c>
    </x:row>
    <x:row r="128" ht="36" customHeight="1">
      <x:c r="A128" s="11"/>
      <x:c r="B128" s="11"/>
      <x:c r="C128" s="11"/>
      <x:c r="D128" s="11"/>
      <x:c r="E128" s="11"/>
      <x:c r="F128" s="11"/>
      <x:c r="G128" s="17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6" t="str">
        <x:f>IF(A128="","",IF(C128="研究",1,0))</x:f>
      </x:c>
      <x:c r="R128" s="16" t="str">
        <x:f>IF(OR(A128="",C128&lt;&gt;"研究",D128="",J128&lt;&gt;"已判定"),"",IF(COUNTIFS($D$6:D128,D128,$C$6:C128,"研究",$J$6:J128,"已判定")=1,1,0))</x:f>
      </x:c>
      <x:c r="S128" s="16" t="str">
        <x:f>IF(OR(A128="",C128&lt;&gt;"研究",D128="",J128&lt;&gt;"已判定"),"",IF(COUNTIFS($D$6:D128,D128,$B$6:B128,B128,$C$6:C128,"研究",$J$6:J128,"已判定")=1,1,0))</x:f>
      </x:c>
      <x:c r="T128" s="16" t="str">
        <x:f>IF(A128="","",IF(AND(D128&lt;&gt;"",J128="已判定",K128="是",L128="是",COUNTIF('笔记筛选'!$A$6:$A$35,E128)=1,COUNTIF('批次记录'!$A$6:$A$17,B128)=1,COUNTIF('证据索引'!$A$6:$A$105,F128)=1),IF(AND(INDEX('笔记筛选'!$O$6:$O$35,MATCH(E128,'笔记筛选'!$A$6:$A$35,0))=1,INDEX('证据索引'!$H$6:$H$105,MATCH(F128,'证据索引'!$A$6:$A$105,0))="可定位",INDEX('证据索引'!$F$6:$F$105,MATCH(F128,'证据索引'!$A$6:$A$105,0))="是",INDEX('证据索引'!$B$6:$B$105,MATCH(F128,'证据索引'!$A$6:$A$105,0))=E128),1,0),0))</x:f>
      </x:c>
      <x:c r="U128" s="16" t="str">
        <x:f>IF(R128="","",IF(AND(R128=1,COUNTIF($AA$6:$AA$205,D128)&gt;0),1,0))</x:f>
      </x:c>
      <x:c r="V128" s="16" t="str">
        <x:f>IF(R128="","",IF(AND(R128=1,COUNTIFS('问题评论关联'!$C$6:$C$205,D128,'问题评论关联'!$G$6:$G$205,1)&gt;0),1,0))</x:f>
      </x:c>
      <x:c r="W128" s="16" t="str">
        <x:f>IF(S128="","",IF(AND(S128=1,COUNTIFS('问题评论关联'!$C$6:$C$205,D128,'问题评论关联'!$G$6:$G$205,1)&gt;0),1,0))</x:f>
      </x:c>
      <x:c r="X128" s="16" t="str">
        <x:f>IF(A128="","",IF(AND(C128="研究",OR(D128="",J128&lt;&gt;"已判定")),1,0))</x:f>
      </x:c>
      <x:c r="Y128" s="16" t="str">
        <x:f>IF(A128="","",IF(COUNTIF('批次记录'!$A$6:$A$17,B128)&lt;&gt;1,"批次缺失或重复",IF(COUNTIF('笔记筛选'!$A$6:$A$35,E128)&lt;&gt;1,"笔记缺失或重复",IF(AND(K128="是",COUNTIF('证据索引'!$A$6:$A$105,F128)&lt;&gt;1),"证据缺失或重复",""))))</x:f>
      </x:c>
      <x:c r="AA128" s="16" t="str">
        <x:f>IF(A128="","",IF(AND(C128="研究",T128=1),D128,""))</x:f>
      </x:c>
    </x:row>
    <x:row r="129" ht="36" customHeight="1">
      <x:c r="A129" s="11"/>
      <x:c r="B129" s="11"/>
      <x:c r="C129" s="11"/>
      <x:c r="D129" s="11"/>
      <x:c r="E129" s="11"/>
      <x:c r="F129" s="11"/>
      <x:c r="G129" s="17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6" t="str">
        <x:f>IF(A129="","",IF(C129="研究",1,0))</x:f>
      </x:c>
      <x:c r="R129" s="16" t="str">
        <x:f>IF(OR(A129="",C129&lt;&gt;"研究",D129="",J129&lt;&gt;"已判定"),"",IF(COUNTIFS($D$6:D129,D129,$C$6:C129,"研究",$J$6:J129,"已判定")=1,1,0))</x:f>
      </x:c>
      <x:c r="S129" s="16" t="str">
        <x:f>IF(OR(A129="",C129&lt;&gt;"研究",D129="",J129&lt;&gt;"已判定"),"",IF(COUNTIFS($D$6:D129,D129,$B$6:B129,B129,$C$6:C129,"研究",$J$6:J129,"已判定")=1,1,0))</x:f>
      </x:c>
      <x:c r="T129" s="16" t="str">
        <x:f>IF(A129="","",IF(AND(D129&lt;&gt;"",J129="已判定",K129="是",L129="是",COUNTIF('笔记筛选'!$A$6:$A$35,E129)=1,COUNTIF('批次记录'!$A$6:$A$17,B129)=1,COUNTIF('证据索引'!$A$6:$A$105,F129)=1),IF(AND(INDEX('笔记筛选'!$O$6:$O$35,MATCH(E129,'笔记筛选'!$A$6:$A$35,0))=1,INDEX('证据索引'!$H$6:$H$105,MATCH(F129,'证据索引'!$A$6:$A$105,0))="可定位",INDEX('证据索引'!$F$6:$F$105,MATCH(F129,'证据索引'!$A$6:$A$105,0))="是",INDEX('证据索引'!$B$6:$B$105,MATCH(F129,'证据索引'!$A$6:$A$105,0))=E129),1,0),0))</x:f>
      </x:c>
      <x:c r="U129" s="16" t="str">
        <x:f>IF(R129="","",IF(AND(R129=1,COUNTIF($AA$6:$AA$205,D129)&gt;0),1,0))</x:f>
      </x:c>
      <x:c r="V129" s="16" t="str">
        <x:f>IF(R129="","",IF(AND(R129=1,COUNTIFS('问题评论关联'!$C$6:$C$205,D129,'问题评论关联'!$G$6:$G$205,1)&gt;0),1,0))</x:f>
      </x:c>
      <x:c r="W129" s="16" t="str">
        <x:f>IF(S129="","",IF(AND(S129=1,COUNTIFS('问题评论关联'!$C$6:$C$205,D129,'问题评论关联'!$G$6:$G$205,1)&gt;0),1,0))</x:f>
      </x:c>
      <x:c r="X129" s="16" t="str">
        <x:f>IF(A129="","",IF(AND(C129="研究",OR(D129="",J129&lt;&gt;"已判定")),1,0))</x:f>
      </x:c>
      <x:c r="Y129" s="16" t="str">
        <x:f>IF(A129="","",IF(COUNTIF('批次记录'!$A$6:$A$17,B129)&lt;&gt;1,"批次缺失或重复",IF(COUNTIF('笔记筛选'!$A$6:$A$35,E129)&lt;&gt;1,"笔记缺失或重复",IF(AND(K129="是",COUNTIF('证据索引'!$A$6:$A$105,F129)&lt;&gt;1),"证据缺失或重复",""))))</x:f>
      </x:c>
      <x:c r="AA129" s="16" t="str">
        <x:f>IF(A129="","",IF(AND(C129="研究",T129=1),D129,""))</x:f>
      </x:c>
    </x:row>
    <x:row r="130" ht="36" customHeight="1">
      <x:c r="A130" s="11"/>
      <x:c r="B130" s="11"/>
      <x:c r="C130" s="11"/>
      <x:c r="D130" s="11"/>
      <x:c r="E130" s="11"/>
      <x:c r="F130" s="11"/>
      <x:c r="G130" s="17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6" t="str">
        <x:f>IF(A130="","",IF(C130="研究",1,0))</x:f>
      </x:c>
      <x:c r="R130" s="16" t="str">
        <x:f>IF(OR(A130="",C130&lt;&gt;"研究",D130="",J130&lt;&gt;"已判定"),"",IF(COUNTIFS($D$6:D130,D130,$C$6:C130,"研究",$J$6:J130,"已判定")=1,1,0))</x:f>
      </x:c>
      <x:c r="S130" s="16" t="str">
        <x:f>IF(OR(A130="",C130&lt;&gt;"研究",D130="",J130&lt;&gt;"已判定"),"",IF(COUNTIFS($D$6:D130,D130,$B$6:B130,B130,$C$6:C130,"研究",$J$6:J130,"已判定")=1,1,0))</x:f>
      </x:c>
      <x:c r="T130" s="16" t="str">
        <x:f>IF(A130="","",IF(AND(D130&lt;&gt;"",J130="已判定",K130="是",L130="是",COUNTIF('笔记筛选'!$A$6:$A$35,E130)=1,COUNTIF('批次记录'!$A$6:$A$17,B130)=1,COUNTIF('证据索引'!$A$6:$A$105,F130)=1),IF(AND(INDEX('笔记筛选'!$O$6:$O$35,MATCH(E130,'笔记筛选'!$A$6:$A$35,0))=1,INDEX('证据索引'!$H$6:$H$105,MATCH(F130,'证据索引'!$A$6:$A$105,0))="可定位",INDEX('证据索引'!$F$6:$F$105,MATCH(F130,'证据索引'!$A$6:$A$105,0))="是",INDEX('证据索引'!$B$6:$B$105,MATCH(F130,'证据索引'!$A$6:$A$105,0))=E130),1,0),0))</x:f>
      </x:c>
      <x:c r="U130" s="16" t="str">
        <x:f>IF(R130="","",IF(AND(R130=1,COUNTIF($AA$6:$AA$205,D130)&gt;0),1,0))</x:f>
      </x:c>
      <x:c r="V130" s="16" t="str">
        <x:f>IF(R130="","",IF(AND(R130=1,COUNTIFS('问题评论关联'!$C$6:$C$205,D130,'问题评论关联'!$G$6:$G$205,1)&gt;0),1,0))</x:f>
      </x:c>
      <x:c r="W130" s="16" t="str">
        <x:f>IF(S130="","",IF(AND(S130=1,COUNTIFS('问题评论关联'!$C$6:$C$205,D130,'问题评论关联'!$G$6:$G$205,1)&gt;0),1,0))</x:f>
      </x:c>
      <x:c r="X130" s="16" t="str">
        <x:f>IF(A130="","",IF(AND(C130="研究",OR(D130="",J130&lt;&gt;"已判定")),1,0))</x:f>
      </x:c>
      <x:c r="Y130" s="16" t="str">
        <x:f>IF(A130="","",IF(COUNTIF('批次记录'!$A$6:$A$17,B130)&lt;&gt;1,"批次缺失或重复",IF(COUNTIF('笔记筛选'!$A$6:$A$35,E130)&lt;&gt;1,"笔记缺失或重复",IF(AND(K130="是",COUNTIF('证据索引'!$A$6:$A$105,F130)&lt;&gt;1),"证据缺失或重复",""))))</x:f>
      </x:c>
      <x:c r="AA130" s="16" t="str">
        <x:f>IF(A130="","",IF(AND(C130="研究",T130=1),D130,""))</x:f>
      </x:c>
    </x:row>
    <x:row r="131" ht="36" customHeight="1">
      <x:c r="A131" s="11"/>
      <x:c r="B131" s="11"/>
      <x:c r="C131" s="11"/>
      <x:c r="D131" s="11"/>
      <x:c r="E131" s="11"/>
      <x:c r="F131" s="11"/>
      <x:c r="G131" s="17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6" t="str">
        <x:f>IF(A131="","",IF(C131="研究",1,0))</x:f>
      </x:c>
      <x:c r="R131" s="16" t="str">
        <x:f>IF(OR(A131="",C131&lt;&gt;"研究",D131="",J131&lt;&gt;"已判定"),"",IF(COUNTIFS($D$6:D131,D131,$C$6:C131,"研究",$J$6:J131,"已判定")=1,1,0))</x:f>
      </x:c>
      <x:c r="S131" s="16" t="str">
        <x:f>IF(OR(A131="",C131&lt;&gt;"研究",D131="",J131&lt;&gt;"已判定"),"",IF(COUNTIFS($D$6:D131,D131,$B$6:B131,B131,$C$6:C131,"研究",$J$6:J131,"已判定")=1,1,0))</x:f>
      </x:c>
      <x:c r="T131" s="16" t="str">
        <x:f>IF(A131="","",IF(AND(D131&lt;&gt;"",J131="已判定",K131="是",L131="是",COUNTIF('笔记筛选'!$A$6:$A$35,E131)=1,COUNTIF('批次记录'!$A$6:$A$17,B131)=1,COUNTIF('证据索引'!$A$6:$A$105,F131)=1),IF(AND(INDEX('笔记筛选'!$O$6:$O$35,MATCH(E131,'笔记筛选'!$A$6:$A$35,0))=1,INDEX('证据索引'!$H$6:$H$105,MATCH(F131,'证据索引'!$A$6:$A$105,0))="可定位",INDEX('证据索引'!$F$6:$F$105,MATCH(F131,'证据索引'!$A$6:$A$105,0))="是",INDEX('证据索引'!$B$6:$B$105,MATCH(F131,'证据索引'!$A$6:$A$105,0))=E131),1,0),0))</x:f>
      </x:c>
      <x:c r="U131" s="16" t="str">
        <x:f>IF(R131="","",IF(AND(R131=1,COUNTIF($AA$6:$AA$205,D131)&gt;0),1,0))</x:f>
      </x:c>
      <x:c r="V131" s="16" t="str">
        <x:f>IF(R131="","",IF(AND(R131=1,COUNTIFS('问题评论关联'!$C$6:$C$205,D131,'问题评论关联'!$G$6:$G$205,1)&gt;0),1,0))</x:f>
      </x:c>
      <x:c r="W131" s="16" t="str">
        <x:f>IF(S131="","",IF(AND(S131=1,COUNTIFS('问题评论关联'!$C$6:$C$205,D131,'问题评论关联'!$G$6:$G$205,1)&gt;0),1,0))</x:f>
      </x:c>
      <x:c r="X131" s="16" t="str">
        <x:f>IF(A131="","",IF(AND(C131="研究",OR(D131="",J131&lt;&gt;"已判定")),1,0))</x:f>
      </x:c>
      <x:c r="Y131" s="16" t="str">
        <x:f>IF(A131="","",IF(COUNTIF('批次记录'!$A$6:$A$17,B131)&lt;&gt;1,"批次缺失或重复",IF(COUNTIF('笔记筛选'!$A$6:$A$35,E131)&lt;&gt;1,"笔记缺失或重复",IF(AND(K131="是",COUNTIF('证据索引'!$A$6:$A$105,F131)&lt;&gt;1),"证据缺失或重复",""))))</x:f>
      </x:c>
      <x:c r="AA131" s="16" t="str">
        <x:f>IF(A131="","",IF(AND(C131="研究",T131=1),D131,""))</x:f>
      </x:c>
    </x:row>
    <x:row r="132" ht="36" customHeight="1">
      <x:c r="A132" s="11"/>
      <x:c r="B132" s="11"/>
      <x:c r="C132" s="11"/>
      <x:c r="D132" s="11"/>
      <x:c r="E132" s="11"/>
      <x:c r="F132" s="11"/>
      <x:c r="G132" s="17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6" t="str">
        <x:f>IF(A132="","",IF(C132="研究",1,0))</x:f>
      </x:c>
      <x:c r="R132" s="16" t="str">
        <x:f>IF(OR(A132="",C132&lt;&gt;"研究",D132="",J132&lt;&gt;"已判定"),"",IF(COUNTIFS($D$6:D132,D132,$C$6:C132,"研究",$J$6:J132,"已判定")=1,1,0))</x:f>
      </x:c>
      <x:c r="S132" s="16" t="str">
        <x:f>IF(OR(A132="",C132&lt;&gt;"研究",D132="",J132&lt;&gt;"已判定"),"",IF(COUNTIFS($D$6:D132,D132,$B$6:B132,B132,$C$6:C132,"研究",$J$6:J132,"已判定")=1,1,0))</x:f>
      </x:c>
      <x:c r="T132" s="16" t="str">
        <x:f>IF(A132="","",IF(AND(D132&lt;&gt;"",J132="已判定",K132="是",L132="是",COUNTIF('笔记筛选'!$A$6:$A$35,E132)=1,COUNTIF('批次记录'!$A$6:$A$17,B132)=1,COUNTIF('证据索引'!$A$6:$A$105,F132)=1),IF(AND(INDEX('笔记筛选'!$O$6:$O$35,MATCH(E132,'笔记筛选'!$A$6:$A$35,0))=1,INDEX('证据索引'!$H$6:$H$105,MATCH(F132,'证据索引'!$A$6:$A$105,0))="可定位",INDEX('证据索引'!$F$6:$F$105,MATCH(F132,'证据索引'!$A$6:$A$105,0))="是",INDEX('证据索引'!$B$6:$B$105,MATCH(F132,'证据索引'!$A$6:$A$105,0))=E132),1,0),0))</x:f>
      </x:c>
      <x:c r="U132" s="16" t="str">
        <x:f>IF(R132="","",IF(AND(R132=1,COUNTIF($AA$6:$AA$205,D132)&gt;0),1,0))</x:f>
      </x:c>
      <x:c r="V132" s="16" t="str">
        <x:f>IF(R132="","",IF(AND(R132=1,COUNTIFS('问题评论关联'!$C$6:$C$205,D132,'问题评论关联'!$G$6:$G$205,1)&gt;0),1,0))</x:f>
      </x:c>
      <x:c r="W132" s="16" t="str">
        <x:f>IF(S132="","",IF(AND(S132=1,COUNTIFS('问题评论关联'!$C$6:$C$205,D132,'问题评论关联'!$G$6:$G$205,1)&gt;0),1,0))</x:f>
      </x:c>
      <x:c r="X132" s="16" t="str">
        <x:f>IF(A132="","",IF(AND(C132="研究",OR(D132="",J132&lt;&gt;"已判定")),1,0))</x:f>
      </x:c>
      <x:c r="Y132" s="16" t="str">
        <x:f>IF(A132="","",IF(COUNTIF('批次记录'!$A$6:$A$17,B132)&lt;&gt;1,"批次缺失或重复",IF(COUNTIF('笔记筛选'!$A$6:$A$35,E132)&lt;&gt;1,"笔记缺失或重复",IF(AND(K132="是",COUNTIF('证据索引'!$A$6:$A$105,F132)&lt;&gt;1),"证据缺失或重复",""))))</x:f>
      </x:c>
      <x:c r="AA132" s="16" t="str">
        <x:f>IF(A132="","",IF(AND(C132="研究",T132=1),D132,""))</x:f>
      </x:c>
    </x:row>
    <x:row r="133" ht="36" customHeight="1">
      <x:c r="A133" s="11"/>
      <x:c r="B133" s="11"/>
      <x:c r="C133" s="11"/>
      <x:c r="D133" s="11"/>
      <x:c r="E133" s="11"/>
      <x:c r="F133" s="11"/>
      <x:c r="G133" s="17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6" t="str">
        <x:f>IF(A133="","",IF(C133="研究",1,0))</x:f>
      </x:c>
      <x:c r="R133" s="16" t="str">
        <x:f>IF(OR(A133="",C133&lt;&gt;"研究",D133="",J133&lt;&gt;"已判定"),"",IF(COUNTIFS($D$6:D133,D133,$C$6:C133,"研究",$J$6:J133,"已判定")=1,1,0))</x:f>
      </x:c>
      <x:c r="S133" s="16" t="str">
        <x:f>IF(OR(A133="",C133&lt;&gt;"研究",D133="",J133&lt;&gt;"已判定"),"",IF(COUNTIFS($D$6:D133,D133,$B$6:B133,B133,$C$6:C133,"研究",$J$6:J133,"已判定")=1,1,0))</x:f>
      </x:c>
      <x:c r="T133" s="16" t="str">
        <x:f>IF(A133="","",IF(AND(D133&lt;&gt;"",J133="已判定",K133="是",L133="是",COUNTIF('笔记筛选'!$A$6:$A$35,E133)=1,COUNTIF('批次记录'!$A$6:$A$17,B133)=1,COUNTIF('证据索引'!$A$6:$A$105,F133)=1),IF(AND(INDEX('笔记筛选'!$O$6:$O$35,MATCH(E133,'笔记筛选'!$A$6:$A$35,0))=1,INDEX('证据索引'!$H$6:$H$105,MATCH(F133,'证据索引'!$A$6:$A$105,0))="可定位",INDEX('证据索引'!$F$6:$F$105,MATCH(F133,'证据索引'!$A$6:$A$105,0))="是",INDEX('证据索引'!$B$6:$B$105,MATCH(F133,'证据索引'!$A$6:$A$105,0))=E133),1,0),0))</x:f>
      </x:c>
      <x:c r="U133" s="16" t="str">
        <x:f>IF(R133="","",IF(AND(R133=1,COUNTIF($AA$6:$AA$205,D133)&gt;0),1,0))</x:f>
      </x:c>
      <x:c r="V133" s="16" t="str">
        <x:f>IF(R133="","",IF(AND(R133=1,COUNTIFS('问题评论关联'!$C$6:$C$205,D133,'问题评论关联'!$G$6:$G$205,1)&gt;0),1,0))</x:f>
      </x:c>
      <x:c r="W133" s="16" t="str">
        <x:f>IF(S133="","",IF(AND(S133=1,COUNTIFS('问题评论关联'!$C$6:$C$205,D133,'问题评论关联'!$G$6:$G$205,1)&gt;0),1,0))</x:f>
      </x:c>
      <x:c r="X133" s="16" t="str">
        <x:f>IF(A133="","",IF(AND(C133="研究",OR(D133="",J133&lt;&gt;"已判定")),1,0))</x:f>
      </x:c>
      <x:c r="Y133" s="16" t="str">
        <x:f>IF(A133="","",IF(COUNTIF('批次记录'!$A$6:$A$17,B133)&lt;&gt;1,"批次缺失或重复",IF(COUNTIF('笔记筛选'!$A$6:$A$35,E133)&lt;&gt;1,"笔记缺失或重复",IF(AND(K133="是",COUNTIF('证据索引'!$A$6:$A$105,F133)&lt;&gt;1),"证据缺失或重复",""))))</x:f>
      </x:c>
      <x:c r="AA133" s="16" t="str">
        <x:f>IF(A133="","",IF(AND(C133="研究",T133=1),D133,""))</x:f>
      </x:c>
    </x:row>
    <x:row r="134" ht="36" customHeight="1">
      <x:c r="A134" s="11"/>
      <x:c r="B134" s="11"/>
      <x:c r="C134" s="11"/>
      <x:c r="D134" s="11"/>
      <x:c r="E134" s="11"/>
      <x:c r="F134" s="11"/>
      <x:c r="G134" s="17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6" t="str">
        <x:f>IF(A134="","",IF(C134="研究",1,0))</x:f>
      </x:c>
      <x:c r="R134" s="16" t="str">
        <x:f>IF(OR(A134="",C134&lt;&gt;"研究",D134="",J134&lt;&gt;"已判定"),"",IF(COUNTIFS($D$6:D134,D134,$C$6:C134,"研究",$J$6:J134,"已判定")=1,1,0))</x:f>
      </x:c>
      <x:c r="S134" s="16" t="str">
        <x:f>IF(OR(A134="",C134&lt;&gt;"研究",D134="",J134&lt;&gt;"已判定"),"",IF(COUNTIFS($D$6:D134,D134,$B$6:B134,B134,$C$6:C134,"研究",$J$6:J134,"已判定")=1,1,0))</x:f>
      </x:c>
      <x:c r="T134" s="16" t="str">
        <x:f>IF(A134="","",IF(AND(D134&lt;&gt;"",J134="已判定",K134="是",L134="是",COUNTIF('笔记筛选'!$A$6:$A$35,E134)=1,COUNTIF('批次记录'!$A$6:$A$17,B134)=1,COUNTIF('证据索引'!$A$6:$A$105,F134)=1),IF(AND(INDEX('笔记筛选'!$O$6:$O$35,MATCH(E134,'笔记筛选'!$A$6:$A$35,0))=1,INDEX('证据索引'!$H$6:$H$105,MATCH(F134,'证据索引'!$A$6:$A$105,0))="可定位",INDEX('证据索引'!$F$6:$F$105,MATCH(F134,'证据索引'!$A$6:$A$105,0))="是",INDEX('证据索引'!$B$6:$B$105,MATCH(F134,'证据索引'!$A$6:$A$105,0))=E134),1,0),0))</x:f>
      </x:c>
      <x:c r="U134" s="16" t="str">
        <x:f>IF(R134="","",IF(AND(R134=1,COUNTIF($AA$6:$AA$205,D134)&gt;0),1,0))</x:f>
      </x:c>
      <x:c r="V134" s="16" t="str">
        <x:f>IF(R134="","",IF(AND(R134=1,COUNTIFS('问题评论关联'!$C$6:$C$205,D134,'问题评论关联'!$G$6:$G$205,1)&gt;0),1,0))</x:f>
      </x:c>
      <x:c r="W134" s="16" t="str">
        <x:f>IF(S134="","",IF(AND(S134=1,COUNTIFS('问题评论关联'!$C$6:$C$205,D134,'问题评论关联'!$G$6:$G$205,1)&gt;0),1,0))</x:f>
      </x:c>
      <x:c r="X134" s="16" t="str">
        <x:f>IF(A134="","",IF(AND(C134="研究",OR(D134="",J134&lt;&gt;"已判定")),1,0))</x:f>
      </x:c>
      <x:c r="Y134" s="16" t="str">
        <x:f>IF(A134="","",IF(COUNTIF('批次记录'!$A$6:$A$17,B134)&lt;&gt;1,"批次缺失或重复",IF(COUNTIF('笔记筛选'!$A$6:$A$35,E134)&lt;&gt;1,"笔记缺失或重复",IF(AND(K134="是",COUNTIF('证据索引'!$A$6:$A$105,F134)&lt;&gt;1),"证据缺失或重复",""))))</x:f>
      </x:c>
      <x:c r="AA134" s="16" t="str">
        <x:f>IF(A134="","",IF(AND(C134="研究",T134=1),D134,""))</x:f>
      </x:c>
    </x:row>
    <x:row r="135" ht="36" customHeight="1">
      <x:c r="A135" s="11"/>
      <x:c r="B135" s="11"/>
      <x:c r="C135" s="11"/>
      <x:c r="D135" s="11"/>
      <x:c r="E135" s="11"/>
      <x:c r="F135" s="11"/>
      <x:c r="G135" s="17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6" t="str">
        <x:f>IF(A135="","",IF(C135="研究",1,0))</x:f>
      </x:c>
      <x:c r="R135" s="16" t="str">
        <x:f>IF(OR(A135="",C135&lt;&gt;"研究",D135="",J135&lt;&gt;"已判定"),"",IF(COUNTIFS($D$6:D135,D135,$C$6:C135,"研究",$J$6:J135,"已判定")=1,1,0))</x:f>
      </x:c>
      <x:c r="S135" s="16" t="str">
        <x:f>IF(OR(A135="",C135&lt;&gt;"研究",D135="",J135&lt;&gt;"已判定"),"",IF(COUNTIFS($D$6:D135,D135,$B$6:B135,B135,$C$6:C135,"研究",$J$6:J135,"已判定")=1,1,0))</x:f>
      </x:c>
      <x:c r="T135" s="16" t="str">
        <x:f>IF(A135="","",IF(AND(D135&lt;&gt;"",J135="已判定",K135="是",L135="是",COUNTIF('笔记筛选'!$A$6:$A$35,E135)=1,COUNTIF('批次记录'!$A$6:$A$17,B135)=1,COUNTIF('证据索引'!$A$6:$A$105,F135)=1),IF(AND(INDEX('笔记筛选'!$O$6:$O$35,MATCH(E135,'笔记筛选'!$A$6:$A$35,0))=1,INDEX('证据索引'!$H$6:$H$105,MATCH(F135,'证据索引'!$A$6:$A$105,0))="可定位",INDEX('证据索引'!$F$6:$F$105,MATCH(F135,'证据索引'!$A$6:$A$105,0))="是",INDEX('证据索引'!$B$6:$B$105,MATCH(F135,'证据索引'!$A$6:$A$105,0))=E135),1,0),0))</x:f>
      </x:c>
      <x:c r="U135" s="16" t="str">
        <x:f>IF(R135="","",IF(AND(R135=1,COUNTIF($AA$6:$AA$205,D135)&gt;0),1,0))</x:f>
      </x:c>
      <x:c r="V135" s="16" t="str">
        <x:f>IF(R135="","",IF(AND(R135=1,COUNTIFS('问题评论关联'!$C$6:$C$205,D135,'问题评论关联'!$G$6:$G$205,1)&gt;0),1,0))</x:f>
      </x:c>
      <x:c r="W135" s="16" t="str">
        <x:f>IF(S135="","",IF(AND(S135=1,COUNTIFS('问题评论关联'!$C$6:$C$205,D135,'问题评论关联'!$G$6:$G$205,1)&gt;0),1,0))</x:f>
      </x:c>
      <x:c r="X135" s="16" t="str">
        <x:f>IF(A135="","",IF(AND(C135="研究",OR(D135="",J135&lt;&gt;"已判定")),1,0))</x:f>
      </x:c>
      <x:c r="Y135" s="16" t="str">
        <x:f>IF(A135="","",IF(COUNTIF('批次记录'!$A$6:$A$17,B135)&lt;&gt;1,"批次缺失或重复",IF(COUNTIF('笔记筛选'!$A$6:$A$35,E135)&lt;&gt;1,"笔记缺失或重复",IF(AND(K135="是",COUNTIF('证据索引'!$A$6:$A$105,F135)&lt;&gt;1),"证据缺失或重复",""))))</x:f>
      </x:c>
      <x:c r="AA135" s="16" t="str">
        <x:f>IF(A135="","",IF(AND(C135="研究",T135=1),D135,""))</x:f>
      </x:c>
    </x:row>
    <x:row r="136" ht="36" customHeight="1">
      <x:c r="A136" s="11"/>
      <x:c r="B136" s="11"/>
      <x:c r="C136" s="11"/>
      <x:c r="D136" s="11"/>
      <x:c r="E136" s="11"/>
      <x:c r="F136" s="11"/>
      <x:c r="G136" s="17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6" t="str">
        <x:f>IF(A136="","",IF(C136="研究",1,0))</x:f>
      </x:c>
      <x:c r="R136" s="16" t="str">
        <x:f>IF(OR(A136="",C136&lt;&gt;"研究",D136="",J136&lt;&gt;"已判定"),"",IF(COUNTIFS($D$6:D136,D136,$C$6:C136,"研究",$J$6:J136,"已判定")=1,1,0))</x:f>
      </x:c>
      <x:c r="S136" s="16" t="str">
        <x:f>IF(OR(A136="",C136&lt;&gt;"研究",D136="",J136&lt;&gt;"已判定"),"",IF(COUNTIFS($D$6:D136,D136,$B$6:B136,B136,$C$6:C136,"研究",$J$6:J136,"已判定")=1,1,0))</x:f>
      </x:c>
      <x:c r="T136" s="16" t="str">
        <x:f>IF(A136="","",IF(AND(D136&lt;&gt;"",J136="已判定",K136="是",L136="是",COUNTIF('笔记筛选'!$A$6:$A$35,E136)=1,COUNTIF('批次记录'!$A$6:$A$17,B136)=1,COUNTIF('证据索引'!$A$6:$A$105,F136)=1),IF(AND(INDEX('笔记筛选'!$O$6:$O$35,MATCH(E136,'笔记筛选'!$A$6:$A$35,0))=1,INDEX('证据索引'!$H$6:$H$105,MATCH(F136,'证据索引'!$A$6:$A$105,0))="可定位",INDEX('证据索引'!$F$6:$F$105,MATCH(F136,'证据索引'!$A$6:$A$105,0))="是",INDEX('证据索引'!$B$6:$B$105,MATCH(F136,'证据索引'!$A$6:$A$105,0))=E136),1,0),0))</x:f>
      </x:c>
      <x:c r="U136" s="16" t="str">
        <x:f>IF(R136="","",IF(AND(R136=1,COUNTIF($AA$6:$AA$205,D136)&gt;0),1,0))</x:f>
      </x:c>
      <x:c r="V136" s="16" t="str">
        <x:f>IF(R136="","",IF(AND(R136=1,COUNTIFS('问题评论关联'!$C$6:$C$205,D136,'问题评论关联'!$G$6:$G$205,1)&gt;0),1,0))</x:f>
      </x:c>
      <x:c r="W136" s="16" t="str">
        <x:f>IF(S136="","",IF(AND(S136=1,COUNTIFS('问题评论关联'!$C$6:$C$205,D136,'问题评论关联'!$G$6:$G$205,1)&gt;0),1,0))</x:f>
      </x:c>
      <x:c r="X136" s="16" t="str">
        <x:f>IF(A136="","",IF(AND(C136="研究",OR(D136="",J136&lt;&gt;"已判定")),1,0))</x:f>
      </x:c>
      <x:c r="Y136" s="16" t="str">
        <x:f>IF(A136="","",IF(COUNTIF('批次记录'!$A$6:$A$17,B136)&lt;&gt;1,"批次缺失或重复",IF(COUNTIF('笔记筛选'!$A$6:$A$35,E136)&lt;&gt;1,"笔记缺失或重复",IF(AND(K136="是",COUNTIF('证据索引'!$A$6:$A$105,F136)&lt;&gt;1),"证据缺失或重复",""))))</x:f>
      </x:c>
      <x:c r="AA136" s="16" t="str">
        <x:f>IF(A136="","",IF(AND(C136="研究",T136=1),D136,""))</x:f>
      </x:c>
    </x:row>
    <x:row r="137" ht="36" customHeight="1">
      <x:c r="A137" s="11"/>
      <x:c r="B137" s="11"/>
      <x:c r="C137" s="11"/>
      <x:c r="D137" s="11"/>
      <x:c r="E137" s="11"/>
      <x:c r="F137" s="11"/>
      <x:c r="G137" s="17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6" t="str">
        <x:f>IF(A137="","",IF(C137="研究",1,0))</x:f>
      </x:c>
      <x:c r="R137" s="16" t="str">
        <x:f>IF(OR(A137="",C137&lt;&gt;"研究",D137="",J137&lt;&gt;"已判定"),"",IF(COUNTIFS($D$6:D137,D137,$C$6:C137,"研究",$J$6:J137,"已判定")=1,1,0))</x:f>
      </x:c>
      <x:c r="S137" s="16" t="str">
        <x:f>IF(OR(A137="",C137&lt;&gt;"研究",D137="",J137&lt;&gt;"已判定"),"",IF(COUNTIFS($D$6:D137,D137,$B$6:B137,B137,$C$6:C137,"研究",$J$6:J137,"已判定")=1,1,0))</x:f>
      </x:c>
      <x:c r="T137" s="16" t="str">
        <x:f>IF(A137="","",IF(AND(D137&lt;&gt;"",J137="已判定",K137="是",L137="是",COUNTIF('笔记筛选'!$A$6:$A$35,E137)=1,COUNTIF('批次记录'!$A$6:$A$17,B137)=1,COUNTIF('证据索引'!$A$6:$A$105,F137)=1),IF(AND(INDEX('笔记筛选'!$O$6:$O$35,MATCH(E137,'笔记筛选'!$A$6:$A$35,0))=1,INDEX('证据索引'!$H$6:$H$105,MATCH(F137,'证据索引'!$A$6:$A$105,0))="可定位",INDEX('证据索引'!$F$6:$F$105,MATCH(F137,'证据索引'!$A$6:$A$105,0))="是",INDEX('证据索引'!$B$6:$B$105,MATCH(F137,'证据索引'!$A$6:$A$105,0))=E137),1,0),0))</x:f>
      </x:c>
      <x:c r="U137" s="16" t="str">
        <x:f>IF(R137="","",IF(AND(R137=1,COUNTIF($AA$6:$AA$205,D137)&gt;0),1,0))</x:f>
      </x:c>
      <x:c r="V137" s="16" t="str">
        <x:f>IF(R137="","",IF(AND(R137=1,COUNTIFS('问题评论关联'!$C$6:$C$205,D137,'问题评论关联'!$G$6:$G$205,1)&gt;0),1,0))</x:f>
      </x:c>
      <x:c r="W137" s="16" t="str">
        <x:f>IF(S137="","",IF(AND(S137=1,COUNTIFS('问题评论关联'!$C$6:$C$205,D137,'问题评论关联'!$G$6:$G$205,1)&gt;0),1,0))</x:f>
      </x:c>
      <x:c r="X137" s="16" t="str">
        <x:f>IF(A137="","",IF(AND(C137="研究",OR(D137="",J137&lt;&gt;"已判定")),1,0))</x:f>
      </x:c>
      <x:c r="Y137" s="16" t="str">
        <x:f>IF(A137="","",IF(COUNTIF('批次记录'!$A$6:$A$17,B137)&lt;&gt;1,"批次缺失或重复",IF(COUNTIF('笔记筛选'!$A$6:$A$35,E137)&lt;&gt;1,"笔记缺失或重复",IF(AND(K137="是",COUNTIF('证据索引'!$A$6:$A$105,F137)&lt;&gt;1),"证据缺失或重复",""))))</x:f>
      </x:c>
      <x:c r="AA137" s="16" t="str">
        <x:f>IF(A137="","",IF(AND(C137="研究",T137=1),D137,""))</x:f>
      </x:c>
    </x:row>
    <x:row r="138" ht="36" customHeight="1">
      <x:c r="A138" s="11"/>
      <x:c r="B138" s="11"/>
      <x:c r="C138" s="11"/>
      <x:c r="D138" s="11"/>
      <x:c r="E138" s="11"/>
      <x:c r="F138" s="11"/>
      <x:c r="G138" s="17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6" t="str">
        <x:f>IF(A138="","",IF(C138="研究",1,0))</x:f>
      </x:c>
      <x:c r="R138" s="16" t="str">
        <x:f>IF(OR(A138="",C138&lt;&gt;"研究",D138="",J138&lt;&gt;"已判定"),"",IF(COUNTIFS($D$6:D138,D138,$C$6:C138,"研究",$J$6:J138,"已判定")=1,1,0))</x:f>
      </x:c>
      <x:c r="S138" s="16" t="str">
        <x:f>IF(OR(A138="",C138&lt;&gt;"研究",D138="",J138&lt;&gt;"已判定"),"",IF(COUNTIFS($D$6:D138,D138,$B$6:B138,B138,$C$6:C138,"研究",$J$6:J138,"已判定")=1,1,0))</x:f>
      </x:c>
      <x:c r="T138" s="16" t="str">
        <x:f>IF(A138="","",IF(AND(D138&lt;&gt;"",J138="已判定",K138="是",L138="是",COUNTIF('笔记筛选'!$A$6:$A$35,E138)=1,COUNTIF('批次记录'!$A$6:$A$17,B138)=1,COUNTIF('证据索引'!$A$6:$A$105,F138)=1),IF(AND(INDEX('笔记筛选'!$O$6:$O$35,MATCH(E138,'笔记筛选'!$A$6:$A$35,0))=1,INDEX('证据索引'!$H$6:$H$105,MATCH(F138,'证据索引'!$A$6:$A$105,0))="可定位",INDEX('证据索引'!$F$6:$F$105,MATCH(F138,'证据索引'!$A$6:$A$105,0))="是",INDEX('证据索引'!$B$6:$B$105,MATCH(F138,'证据索引'!$A$6:$A$105,0))=E138),1,0),0))</x:f>
      </x:c>
      <x:c r="U138" s="16" t="str">
        <x:f>IF(R138="","",IF(AND(R138=1,COUNTIF($AA$6:$AA$205,D138)&gt;0),1,0))</x:f>
      </x:c>
      <x:c r="V138" s="16" t="str">
        <x:f>IF(R138="","",IF(AND(R138=1,COUNTIFS('问题评论关联'!$C$6:$C$205,D138,'问题评论关联'!$G$6:$G$205,1)&gt;0),1,0))</x:f>
      </x:c>
      <x:c r="W138" s="16" t="str">
        <x:f>IF(S138="","",IF(AND(S138=1,COUNTIFS('问题评论关联'!$C$6:$C$205,D138,'问题评论关联'!$G$6:$G$205,1)&gt;0),1,0))</x:f>
      </x:c>
      <x:c r="X138" s="16" t="str">
        <x:f>IF(A138="","",IF(AND(C138="研究",OR(D138="",J138&lt;&gt;"已判定")),1,0))</x:f>
      </x:c>
      <x:c r="Y138" s="16" t="str">
        <x:f>IF(A138="","",IF(COUNTIF('批次记录'!$A$6:$A$17,B138)&lt;&gt;1,"批次缺失或重复",IF(COUNTIF('笔记筛选'!$A$6:$A$35,E138)&lt;&gt;1,"笔记缺失或重复",IF(AND(K138="是",COUNTIF('证据索引'!$A$6:$A$105,F138)&lt;&gt;1),"证据缺失或重复",""))))</x:f>
      </x:c>
      <x:c r="AA138" s="16" t="str">
        <x:f>IF(A138="","",IF(AND(C138="研究",T138=1),D138,""))</x:f>
      </x:c>
    </x:row>
    <x:row r="139" ht="36" customHeight="1">
      <x:c r="A139" s="11"/>
      <x:c r="B139" s="11"/>
      <x:c r="C139" s="11"/>
      <x:c r="D139" s="11"/>
      <x:c r="E139" s="11"/>
      <x:c r="F139" s="11"/>
      <x:c r="G139" s="17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6" t="str">
        <x:f>IF(A139="","",IF(C139="研究",1,0))</x:f>
      </x:c>
      <x:c r="R139" s="16" t="str">
        <x:f>IF(OR(A139="",C139&lt;&gt;"研究",D139="",J139&lt;&gt;"已判定"),"",IF(COUNTIFS($D$6:D139,D139,$C$6:C139,"研究",$J$6:J139,"已判定")=1,1,0))</x:f>
      </x:c>
      <x:c r="S139" s="16" t="str">
        <x:f>IF(OR(A139="",C139&lt;&gt;"研究",D139="",J139&lt;&gt;"已判定"),"",IF(COUNTIFS($D$6:D139,D139,$B$6:B139,B139,$C$6:C139,"研究",$J$6:J139,"已判定")=1,1,0))</x:f>
      </x:c>
      <x:c r="T139" s="16" t="str">
        <x:f>IF(A139="","",IF(AND(D139&lt;&gt;"",J139="已判定",K139="是",L139="是",COUNTIF('笔记筛选'!$A$6:$A$35,E139)=1,COUNTIF('批次记录'!$A$6:$A$17,B139)=1,COUNTIF('证据索引'!$A$6:$A$105,F139)=1),IF(AND(INDEX('笔记筛选'!$O$6:$O$35,MATCH(E139,'笔记筛选'!$A$6:$A$35,0))=1,INDEX('证据索引'!$H$6:$H$105,MATCH(F139,'证据索引'!$A$6:$A$105,0))="可定位",INDEX('证据索引'!$F$6:$F$105,MATCH(F139,'证据索引'!$A$6:$A$105,0))="是",INDEX('证据索引'!$B$6:$B$105,MATCH(F139,'证据索引'!$A$6:$A$105,0))=E139),1,0),0))</x:f>
      </x:c>
      <x:c r="U139" s="16" t="str">
        <x:f>IF(R139="","",IF(AND(R139=1,COUNTIF($AA$6:$AA$205,D139)&gt;0),1,0))</x:f>
      </x:c>
      <x:c r="V139" s="16" t="str">
        <x:f>IF(R139="","",IF(AND(R139=1,COUNTIFS('问题评论关联'!$C$6:$C$205,D139,'问题评论关联'!$G$6:$G$205,1)&gt;0),1,0))</x:f>
      </x:c>
      <x:c r="W139" s="16" t="str">
        <x:f>IF(S139="","",IF(AND(S139=1,COUNTIFS('问题评论关联'!$C$6:$C$205,D139,'问题评论关联'!$G$6:$G$205,1)&gt;0),1,0))</x:f>
      </x:c>
      <x:c r="X139" s="16" t="str">
        <x:f>IF(A139="","",IF(AND(C139="研究",OR(D139="",J139&lt;&gt;"已判定")),1,0))</x:f>
      </x:c>
      <x:c r="Y139" s="16" t="str">
        <x:f>IF(A139="","",IF(COUNTIF('批次记录'!$A$6:$A$17,B139)&lt;&gt;1,"批次缺失或重复",IF(COUNTIF('笔记筛选'!$A$6:$A$35,E139)&lt;&gt;1,"笔记缺失或重复",IF(AND(K139="是",COUNTIF('证据索引'!$A$6:$A$105,F139)&lt;&gt;1),"证据缺失或重复",""))))</x:f>
      </x:c>
      <x:c r="AA139" s="16" t="str">
        <x:f>IF(A139="","",IF(AND(C139="研究",T139=1),D139,""))</x:f>
      </x:c>
    </x:row>
    <x:row r="140" ht="36" customHeight="1">
      <x:c r="A140" s="11"/>
      <x:c r="B140" s="11"/>
      <x:c r="C140" s="11"/>
      <x:c r="D140" s="11"/>
      <x:c r="E140" s="11"/>
      <x:c r="F140" s="11"/>
      <x:c r="G140" s="17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6" t="str">
        <x:f>IF(A140="","",IF(C140="研究",1,0))</x:f>
      </x:c>
      <x:c r="R140" s="16" t="str">
        <x:f>IF(OR(A140="",C140&lt;&gt;"研究",D140="",J140&lt;&gt;"已判定"),"",IF(COUNTIFS($D$6:D140,D140,$C$6:C140,"研究",$J$6:J140,"已判定")=1,1,0))</x:f>
      </x:c>
      <x:c r="S140" s="16" t="str">
        <x:f>IF(OR(A140="",C140&lt;&gt;"研究",D140="",J140&lt;&gt;"已判定"),"",IF(COUNTIFS($D$6:D140,D140,$B$6:B140,B140,$C$6:C140,"研究",$J$6:J140,"已判定")=1,1,0))</x:f>
      </x:c>
      <x:c r="T140" s="16" t="str">
        <x:f>IF(A140="","",IF(AND(D140&lt;&gt;"",J140="已判定",K140="是",L140="是",COUNTIF('笔记筛选'!$A$6:$A$35,E140)=1,COUNTIF('批次记录'!$A$6:$A$17,B140)=1,COUNTIF('证据索引'!$A$6:$A$105,F140)=1),IF(AND(INDEX('笔记筛选'!$O$6:$O$35,MATCH(E140,'笔记筛选'!$A$6:$A$35,0))=1,INDEX('证据索引'!$H$6:$H$105,MATCH(F140,'证据索引'!$A$6:$A$105,0))="可定位",INDEX('证据索引'!$F$6:$F$105,MATCH(F140,'证据索引'!$A$6:$A$105,0))="是",INDEX('证据索引'!$B$6:$B$105,MATCH(F140,'证据索引'!$A$6:$A$105,0))=E140),1,0),0))</x:f>
      </x:c>
      <x:c r="U140" s="16" t="str">
        <x:f>IF(R140="","",IF(AND(R140=1,COUNTIF($AA$6:$AA$205,D140)&gt;0),1,0))</x:f>
      </x:c>
      <x:c r="V140" s="16" t="str">
        <x:f>IF(R140="","",IF(AND(R140=1,COUNTIFS('问题评论关联'!$C$6:$C$205,D140,'问题评论关联'!$G$6:$G$205,1)&gt;0),1,0))</x:f>
      </x:c>
      <x:c r="W140" s="16" t="str">
        <x:f>IF(S140="","",IF(AND(S140=1,COUNTIFS('问题评论关联'!$C$6:$C$205,D140,'问题评论关联'!$G$6:$G$205,1)&gt;0),1,0))</x:f>
      </x:c>
      <x:c r="X140" s="16" t="str">
        <x:f>IF(A140="","",IF(AND(C140="研究",OR(D140="",J140&lt;&gt;"已判定")),1,0))</x:f>
      </x:c>
      <x:c r="Y140" s="16" t="str">
        <x:f>IF(A140="","",IF(COUNTIF('批次记录'!$A$6:$A$17,B140)&lt;&gt;1,"批次缺失或重复",IF(COUNTIF('笔记筛选'!$A$6:$A$35,E140)&lt;&gt;1,"笔记缺失或重复",IF(AND(K140="是",COUNTIF('证据索引'!$A$6:$A$105,F140)&lt;&gt;1),"证据缺失或重复",""))))</x:f>
      </x:c>
      <x:c r="AA140" s="16" t="str">
        <x:f>IF(A140="","",IF(AND(C140="研究",T140=1),D140,""))</x:f>
      </x:c>
    </x:row>
    <x:row r="141" ht="36" customHeight="1">
      <x:c r="A141" s="11"/>
      <x:c r="B141" s="11"/>
      <x:c r="C141" s="11"/>
      <x:c r="D141" s="11"/>
      <x:c r="E141" s="11"/>
      <x:c r="F141" s="11"/>
      <x:c r="G141" s="17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6" t="str">
        <x:f>IF(A141="","",IF(C141="研究",1,0))</x:f>
      </x:c>
      <x:c r="R141" s="16" t="str">
        <x:f>IF(OR(A141="",C141&lt;&gt;"研究",D141="",J141&lt;&gt;"已判定"),"",IF(COUNTIFS($D$6:D141,D141,$C$6:C141,"研究",$J$6:J141,"已判定")=1,1,0))</x:f>
      </x:c>
      <x:c r="S141" s="16" t="str">
        <x:f>IF(OR(A141="",C141&lt;&gt;"研究",D141="",J141&lt;&gt;"已判定"),"",IF(COUNTIFS($D$6:D141,D141,$B$6:B141,B141,$C$6:C141,"研究",$J$6:J141,"已判定")=1,1,0))</x:f>
      </x:c>
      <x:c r="T141" s="16" t="str">
        <x:f>IF(A141="","",IF(AND(D141&lt;&gt;"",J141="已判定",K141="是",L141="是",COUNTIF('笔记筛选'!$A$6:$A$35,E141)=1,COUNTIF('批次记录'!$A$6:$A$17,B141)=1,COUNTIF('证据索引'!$A$6:$A$105,F141)=1),IF(AND(INDEX('笔记筛选'!$O$6:$O$35,MATCH(E141,'笔记筛选'!$A$6:$A$35,0))=1,INDEX('证据索引'!$H$6:$H$105,MATCH(F141,'证据索引'!$A$6:$A$105,0))="可定位",INDEX('证据索引'!$F$6:$F$105,MATCH(F141,'证据索引'!$A$6:$A$105,0))="是",INDEX('证据索引'!$B$6:$B$105,MATCH(F141,'证据索引'!$A$6:$A$105,0))=E141),1,0),0))</x:f>
      </x:c>
      <x:c r="U141" s="16" t="str">
        <x:f>IF(R141="","",IF(AND(R141=1,COUNTIF($AA$6:$AA$205,D141)&gt;0),1,0))</x:f>
      </x:c>
      <x:c r="V141" s="16" t="str">
        <x:f>IF(R141="","",IF(AND(R141=1,COUNTIFS('问题评论关联'!$C$6:$C$205,D141,'问题评论关联'!$G$6:$G$205,1)&gt;0),1,0))</x:f>
      </x:c>
      <x:c r="W141" s="16" t="str">
        <x:f>IF(S141="","",IF(AND(S141=1,COUNTIFS('问题评论关联'!$C$6:$C$205,D141,'问题评论关联'!$G$6:$G$205,1)&gt;0),1,0))</x:f>
      </x:c>
      <x:c r="X141" s="16" t="str">
        <x:f>IF(A141="","",IF(AND(C141="研究",OR(D141="",J141&lt;&gt;"已判定")),1,0))</x:f>
      </x:c>
      <x:c r="Y141" s="16" t="str">
        <x:f>IF(A141="","",IF(COUNTIF('批次记录'!$A$6:$A$17,B141)&lt;&gt;1,"批次缺失或重复",IF(COUNTIF('笔记筛选'!$A$6:$A$35,E141)&lt;&gt;1,"笔记缺失或重复",IF(AND(K141="是",COUNTIF('证据索引'!$A$6:$A$105,F141)&lt;&gt;1),"证据缺失或重复",""))))</x:f>
      </x:c>
      <x:c r="AA141" s="16" t="str">
        <x:f>IF(A141="","",IF(AND(C141="研究",T141=1),D141,""))</x:f>
      </x:c>
    </x:row>
    <x:row r="142" ht="36" customHeight="1">
      <x:c r="A142" s="11"/>
      <x:c r="B142" s="11"/>
      <x:c r="C142" s="11"/>
      <x:c r="D142" s="11"/>
      <x:c r="E142" s="11"/>
      <x:c r="F142" s="11"/>
      <x:c r="G142" s="17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6" t="str">
        <x:f>IF(A142="","",IF(C142="研究",1,0))</x:f>
      </x:c>
      <x:c r="R142" s="16" t="str">
        <x:f>IF(OR(A142="",C142&lt;&gt;"研究",D142="",J142&lt;&gt;"已判定"),"",IF(COUNTIFS($D$6:D142,D142,$C$6:C142,"研究",$J$6:J142,"已判定")=1,1,0))</x:f>
      </x:c>
      <x:c r="S142" s="16" t="str">
        <x:f>IF(OR(A142="",C142&lt;&gt;"研究",D142="",J142&lt;&gt;"已判定"),"",IF(COUNTIFS($D$6:D142,D142,$B$6:B142,B142,$C$6:C142,"研究",$J$6:J142,"已判定")=1,1,0))</x:f>
      </x:c>
      <x:c r="T142" s="16" t="str">
        <x:f>IF(A142="","",IF(AND(D142&lt;&gt;"",J142="已判定",K142="是",L142="是",COUNTIF('笔记筛选'!$A$6:$A$35,E142)=1,COUNTIF('批次记录'!$A$6:$A$17,B142)=1,COUNTIF('证据索引'!$A$6:$A$105,F142)=1),IF(AND(INDEX('笔记筛选'!$O$6:$O$35,MATCH(E142,'笔记筛选'!$A$6:$A$35,0))=1,INDEX('证据索引'!$H$6:$H$105,MATCH(F142,'证据索引'!$A$6:$A$105,0))="可定位",INDEX('证据索引'!$F$6:$F$105,MATCH(F142,'证据索引'!$A$6:$A$105,0))="是",INDEX('证据索引'!$B$6:$B$105,MATCH(F142,'证据索引'!$A$6:$A$105,0))=E142),1,0),0))</x:f>
      </x:c>
      <x:c r="U142" s="16" t="str">
        <x:f>IF(R142="","",IF(AND(R142=1,COUNTIF($AA$6:$AA$205,D142)&gt;0),1,0))</x:f>
      </x:c>
      <x:c r="V142" s="16" t="str">
        <x:f>IF(R142="","",IF(AND(R142=1,COUNTIFS('问题评论关联'!$C$6:$C$205,D142,'问题评论关联'!$G$6:$G$205,1)&gt;0),1,0))</x:f>
      </x:c>
      <x:c r="W142" s="16" t="str">
        <x:f>IF(S142="","",IF(AND(S142=1,COUNTIFS('问题评论关联'!$C$6:$C$205,D142,'问题评论关联'!$G$6:$G$205,1)&gt;0),1,0))</x:f>
      </x:c>
      <x:c r="X142" s="16" t="str">
        <x:f>IF(A142="","",IF(AND(C142="研究",OR(D142="",J142&lt;&gt;"已判定")),1,0))</x:f>
      </x:c>
      <x:c r="Y142" s="16" t="str">
        <x:f>IF(A142="","",IF(COUNTIF('批次记录'!$A$6:$A$17,B142)&lt;&gt;1,"批次缺失或重复",IF(COUNTIF('笔记筛选'!$A$6:$A$35,E142)&lt;&gt;1,"笔记缺失或重复",IF(AND(K142="是",COUNTIF('证据索引'!$A$6:$A$105,F142)&lt;&gt;1),"证据缺失或重复",""))))</x:f>
      </x:c>
      <x:c r="AA142" s="16" t="str">
        <x:f>IF(A142="","",IF(AND(C142="研究",T142=1),D142,""))</x:f>
      </x:c>
    </x:row>
    <x:row r="143" ht="36" customHeight="1">
      <x:c r="A143" s="11"/>
      <x:c r="B143" s="11"/>
      <x:c r="C143" s="11"/>
      <x:c r="D143" s="11"/>
      <x:c r="E143" s="11"/>
      <x:c r="F143" s="11"/>
      <x:c r="G143" s="17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6" t="str">
        <x:f>IF(A143="","",IF(C143="研究",1,0))</x:f>
      </x:c>
      <x:c r="R143" s="16" t="str">
        <x:f>IF(OR(A143="",C143&lt;&gt;"研究",D143="",J143&lt;&gt;"已判定"),"",IF(COUNTIFS($D$6:D143,D143,$C$6:C143,"研究",$J$6:J143,"已判定")=1,1,0))</x:f>
      </x:c>
      <x:c r="S143" s="16" t="str">
        <x:f>IF(OR(A143="",C143&lt;&gt;"研究",D143="",J143&lt;&gt;"已判定"),"",IF(COUNTIFS($D$6:D143,D143,$B$6:B143,B143,$C$6:C143,"研究",$J$6:J143,"已判定")=1,1,0))</x:f>
      </x:c>
      <x:c r="T143" s="16" t="str">
        <x:f>IF(A143="","",IF(AND(D143&lt;&gt;"",J143="已判定",K143="是",L143="是",COUNTIF('笔记筛选'!$A$6:$A$35,E143)=1,COUNTIF('批次记录'!$A$6:$A$17,B143)=1,COUNTIF('证据索引'!$A$6:$A$105,F143)=1),IF(AND(INDEX('笔记筛选'!$O$6:$O$35,MATCH(E143,'笔记筛选'!$A$6:$A$35,0))=1,INDEX('证据索引'!$H$6:$H$105,MATCH(F143,'证据索引'!$A$6:$A$105,0))="可定位",INDEX('证据索引'!$F$6:$F$105,MATCH(F143,'证据索引'!$A$6:$A$105,0))="是",INDEX('证据索引'!$B$6:$B$105,MATCH(F143,'证据索引'!$A$6:$A$105,0))=E143),1,0),0))</x:f>
      </x:c>
      <x:c r="U143" s="16" t="str">
        <x:f>IF(R143="","",IF(AND(R143=1,COUNTIF($AA$6:$AA$205,D143)&gt;0),1,0))</x:f>
      </x:c>
      <x:c r="V143" s="16" t="str">
        <x:f>IF(R143="","",IF(AND(R143=1,COUNTIFS('问题评论关联'!$C$6:$C$205,D143,'问题评论关联'!$G$6:$G$205,1)&gt;0),1,0))</x:f>
      </x:c>
      <x:c r="W143" s="16" t="str">
        <x:f>IF(S143="","",IF(AND(S143=1,COUNTIFS('问题评论关联'!$C$6:$C$205,D143,'问题评论关联'!$G$6:$G$205,1)&gt;0),1,0))</x:f>
      </x:c>
      <x:c r="X143" s="16" t="str">
        <x:f>IF(A143="","",IF(AND(C143="研究",OR(D143="",J143&lt;&gt;"已判定")),1,0))</x:f>
      </x:c>
      <x:c r="Y143" s="16" t="str">
        <x:f>IF(A143="","",IF(COUNTIF('批次记录'!$A$6:$A$17,B143)&lt;&gt;1,"批次缺失或重复",IF(COUNTIF('笔记筛选'!$A$6:$A$35,E143)&lt;&gt;1,"笔记缺失或重复",IF(AND(K143="是",COUNTIF('证据索引'!$A$6:$A$105,F143)&lt;&gt;1),"证据缺失或重复",""))))</x:f>
      </x:c>
      <x:c r="AA143" s="16" t="str">
        <x:f>IF(A143="","",IF(AND(C143="研究",T143=1),D143,""))</x:f>
      </x:c>
    </x:row>
    <x:row r="144" ht="36" customHeight="1">
      <x:c r="A144" s="11"/>
      <x:c r="B144" s="11"/>
      <x:c r="C144" s="11"/>
      <x:c r="D144" s="11"/>
      <x:c r="E144" s="11"/>
      <x:c r="F144" s="11"/>
      <x:c r="G144" s="17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6" t="str">
        <x:f>IF(A144="","",IF(C144="研究",1,0))</x:f>
      </x:c>
      <x:c r="R144" s="16" t="str">
        <x:f>IF(OR(A144="",C144&lt;&gt;"研究",D144="",J144&lt;&gt;"已判定"),"",IF(COUNTIFS($D$6:D144,D144,$C$6:C144,"研究",$J$6:J144,"已判定")=1,1,0))</x:f>
      </x:c>
      <x:c r="S144" s="16" t="str">
        <x:f>IF(OR(A144="",C144&lt;&gt;"研究",D144="",J144&lt;&gt;"已判定"),"",IF(COUNTIFS($D$6:D144,D144,$B$6:B144,B144,$C$6:C144,"研究",$J$6:J144,"已判定")=1,1,0))</x:f>
      </x:c>
      <x:c r="T144" s="16" t="str">
        <x:f>IF(A144="","",IF(AND(D144&lt;&gt;"",J144="已判定",K144="是",L144="是",COUNTIF('笔记筛选'!$A$6:$A$35,E144)=1,COUNTIF('批次记录'!$A$6:$A$17,B144)=1,COUNTIF('证据索引'!$A$6:$A$105,F144)=1),IF(AND(INDEX('笔记筛选'!$O$6:$O$35,MATCH(E144,'笔记筛选'!$A$6:$A$35,0))=1,INDEX('证据索引'!$H$6:$H$105,MATCH(F144,'证据索引'!$A$6:$A$105,0))="可定位",INDEX('证据索引'!$F$6:$F$105,MATCH(F144,'证据索引'!$A$6:$A$105,0))="是",INDEX('证据索引'!$B$6:$B$105,MATCH(F144,'证据索引'!$A$6:$A$105,0))=E144),1,0),0))</x:f>
      </x:c>
      <x:c r="U144" s="16" t="str">
        <x:f>IF(R144="","",IF(AND(R144=1,COUNTIF($AA$6:$AA$205,D144)&gt;0),1,0))</x:f>
      </x:c>
      <x:c r="V144" s="16" t="str">
        <x:f>IF(R144="","",IF(AND(R144=1,COUNTIFS('问题评论关联'!$C$6:$C$205,D144,'问题评论关联'!$G$6:$G$205,1)&gt;0),1,0))</x:f>
      </x:c>
      <x:c r="W144" s="16" t="str">
        <x:f>IF(S144="","",IF(AND(S144=1,COUNTIFS('问题评论关联'!$C$6:$C$205,D144,'问题评论关联'!$G$6:$G$205,1)&gt;0),1,0))</x:f>
      </x:c>
      <x:c r="X144" s="16" t="str">
        <x:f>IF(A144="","",IF(AND(C144="研究",OR(D144="",J144&lt;&gt;"已判定")),1,0))</x:f>
      </x:c>
      <x:c r="Y144" s="16" t="str">
        <x:f>IF(A144="","",IF(COUNTIF('批次记录'!$A$6:$A$17,B144)&lt;&gt;1,"批次缺失或重复",IF(COUNTIF('笔记筛选'!$A$6:$A$35,E144)&lt;&gt;1,"笔记缺失或重复",IF(AND(K144="是",COUNTIF('证据索引'!$A$6:$A$105,F144)&lt;&gt;1),"证据缺失或重复",""))))</x:f>
      </x:c>
      <x:c r="AA144" s="16" t="str">
        <x:f>IF(A144="","",IF(AND(C144="研究",T144=1),D144,""))</x:f>
      </x:c>
    </x:row>
    <x:row r="145" ht="36" customHeight="1">
      <x:c r="A145" s="11"/>
      <x:c r="B145" s="11"/>
      <x:c r="C145" s="11"/>
      <x:c r="D145" s="11"/>
      <x:c r="E145" s="11"/>
      <x:c r="F145" s="11"/>
      <x:c r="G145" s="17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6" t="str">
        <x:f>IF(A145="","",IF(C145="研究",1,0))</x:f>
      </x:c>
      <x:c r="R145" s="16" t="str">
        <x:f>IF(OR(A145="",C145&lt;&gt;"研究",D145="",J145&lt;&gt;"已判定"),"",IF(COUNTIFS($D$6:D145,D145,$C$6:C145,"研究",$J$6:J145,"已判定")=1,1,0))</x:f>
      </x:c>
      <x:c r="S145" s="16" t="str">
        <x:f>IF(OR(A145="",C145&lt;&gt;"研究",D145="",J145&lt;&gt;"已判定"),"",IF(COUNTIFS($D$6:D145,D145,$B$6:B145,B145,$C$6:C145,"研究",$J$6:J145,"已判定")=1,1,0))</x:f>
      </x:c>
      <x:c r="T145" s="16" t="str">
        <x:f>IF(A145="","",IF(AND(D145&lt;&gt;"",J145="已判定",K145="是",L145="是",COUNTIF('笔记筛选'!$A$6:$A$35,E145)=1,COUNTIF('批次记录'!$A$6:$A$17,B145)=1,COUNTIF('证据索引'!$A$6:$A$105,F145)=1),IF(AND(INDEX('笔记筛选'!$O$6:$O$35,MATCH(E145,'笔记筛选'!$A$6:$A$35,0))=1,INDEX('证据索引'!$H$6:$H$105,MATCH(F145,'证据索引'!$A$6:$A$105,0))="可定位",INDEX('证据索引'!$F$6:$F$105,MATCH(F145,'证据索引'!$A$6:$A$105,0))="是",INDEX('证据索引'!$B$6:$B$105,MATCH(F145,'证据索引'!$A$6:$A$105,0))=E145),1,0),0))</x:f>
      </x:c>
      <x:c r="U145" s="16" t="str">
        <x:f>IF(R145="","",IF(AND(R145=1,COUNTIF($AA$6:$AA$205,D145)&gt;0),1,0))</x:f>
      </x:c>
      <x:c r="V145" s="16" t="str">
        <x:f>IF(R145="","",IF(AND(R145=1,COUNTIFS('问题评论关联'!$C$6:$C$205,D145,'问题评论关联'!$G$6:$G$205,1)&gt;0),1,0))</x:f>
      </x:c>
      <x:c r="W145" s="16" t="str">
        <x:f>IF(S145="","",IF(AND(S145=1,COUNTIFS('问题评论关联'!$C$6:$C$205,D145,'问题评论关联'!$G$6:$G$205,1)&gt;0),1,0))</x:f>
      </x:c>
      <x:c r="X145" s="16" t="str">
        <x:f>IF(A145="","",IF(AND(C145="研究",OR(D145="",J145&lt;&gt;"已判定")),1,0))</x:f>
      </x:c>
      <x:c r="Y145" s="16" t="str">
        <x:f>IF(A145="","",IF(COUNTIF('批次记录'!$A$6:$A$17,B145)&lt;&gt;1,"批次缺失或重复",IF(COUNTIF('笔记筛选'!$A$6:$A$35,E145)&lt;&gt;1,"笔记缺失或重复",IF(AND(K145="是",COUNTIF('证据索引'!$A$6:$A$105,F145)&lt;&gt;1),"证据缺失或重复",""))))</x:f>
      </x:c>
      <x:c r="AA145" s="16" t="str">
        <x:f>IF(A145="","",IF(AND(C145="研究",T145=1),D145,""))</x:f>
      </x:c>
    </x:row>
    <x:row r="146" ht="36" customHeight="1">
      <x:c r="A146" s="11"/>
      <x:c r="B146" s="11"/>
      <x:c r="C146" s="11"/>
      <x:c r="D146" s="11"/>
      <x:c r="E146" s="11"/>
      <x:c r="F146" s="11"/>
      <x:c r="G146" s="17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6" t="str">
        <x:f>IF(A146="","",IF(C146="研究",1,0))</x:f>
      </x:c>
      <x:c r="R146" s="16" t="str">
        <x:f>IF(OR(A146="",C146&lt;&gt;"研究",D146="",J146&lt;&gt;"已判定"),"",IF(COUNTIFS($D$6:D146,D146,$C$6:C146,"研究",$J$6:J146,"已判定")=1,1,0))</x:f>
      </x:c>
      <x:c r="S146" s="16" t="str">
        <x:f>IF(OR(A146="",C146&lt;&gt;"研究",D146="",J146&lt;&gt;"已判定"),"",IF(COUNTIFS($D$6:D146,D146,$B$6:B146,B146,$C$6:C146,"研究",$J$6:J146,"已判定")=1,1,0))</x:f>
      </x:c>
      <x:c r="T146" s="16" t="str">
        <x:f>IF(A146="","",IF(AND(D146&lt;&gt;"",J146="已判定",K146="是",L146="是",COUNTIF('笔记筛选'!$A$6:$A$35,E146)=1,COUNTIF('批次记录'!$A$6:$A$17,B146)=1,COUNTIF('证据索引'!$A$6:$A$105,F146)=1),IF(AND(INDEX('笔记筛选'!$O$6:$O$35,MATCH(E146,'笔记筛选'!$A$6:$A$35,0))=1,INDEX('证据索引'!$H$6:$H$105,MATCH(F146,'证据索引'!$A$6:$A$105,0))="可定位",INDEX('证据索引'!$F$6:$F$105,MATCH(F146,'证据索引'!$A$6:$A$105,0))="是",INDEX('证据索引'!$B$6:$B$105,MATCH(F146,'证据索引'!$A$6:$A$105,0))=E146),1,0),0))</x:f>
      </x:c>
      <x:c r="U146" s="16" t="str">
        <x:f>IF(R146="","",IF(AND(R146=1,COUNTIF($AA$6:$AA$205,D146)&gt;0),1,0))</x:f>
      </x:c>
      <x:c r="V146" s="16" t="str">
        <x:f>IF(R146="","",IF(AND(R146=1,COUNTIFS('问题评论关联'!$C$6:$C$205,D146,'问题评论关联'!$G$6:$G$205,1)&gt;0),1,0))</x:f>
      </x:c>
      <x:c r="W146" s="16" t="str">
        <x:f>IF(S146="","",IF(AND(S146=1,COUNTIFS('问题评论关联'!$C$6:$C$205,D146,'问题评论关联'!$G$6:$G$205,1)&gt;0),1,0))</x:f>
      </x:c>
      <x:c r="X146" s="16" t="str">
        <x:f>IF(A146="","",IF(AND(C146="研究",OR(D146="",J146&lt;&gt;"已判定")),1,0))</x:f>
      </x:c>
      <x:c r="Y146" s="16" t="str">
        <x:f>IF(A146="","",IF(COUNTIF('批次记录'!$A$6:$A$17,B146)&lt;&gt;1,"批次缺失或重复",IF(COUNTIF('笔记筛选'!$A$6:$A$35,E146)&lt;&gt;1,"笔记缺失或重复",IF(AND(K146="是",COUNTIF('证据索引'!$A$6:$A$105,F146)&lt;&gt;1),"证据缺失或重复",""))))</x:f>
      </x:c>
      <x:c r="AA146" s="16" t="str">
        <x:f>IF(A146="","",IF(AND(C146="研究",T146=1),D146,""))</x:f>
      </x:c>
    </x:row>
    <x:row r="147" ht="36" customHeight="1">
      <x:c r="A147" s="11"/>
      <x:c r="B147" s="11"/>
      <x:c r="C147" s="11"/>
      <x:c r="D147" s="11"/>
      <x:c r="E147" s="11"/>
      <x:c r="F147" s="11"/>
      <x:c r="G147" s="17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6" t="str">
        <x:f>IF(A147="","",IF(C147="研究",1,0))</x:f>
      </x:c>
      <x:c r="R147" s="16" t="str">
        <x:f>IF(OR(A147="",C147&lt;&gt;"研究",D147="",J147&lt;&gt;"已判定"),"",IF(COUNTIFS($D$6:D147,D147,$C$6:C147,"研究",$J$6:J147,"已判定")=1,1,0))</x:f>
      </x:c>
      <x:c r="S147" s="16" t="str">
        <x:f>IF(OR(A147="",C147&lt;&gt;"研究",D147="",J147&lt;&gt;"已判定"),"",IF(COUNTIFS($D$6:D147,D147,$B$6:B147,B147,$C$6:C147,"研究",$J$6:J147,"已判定")=1,1,0))</x:f>
      </x:c>
      <x:c r="T147" s="16" t="str">
        <x:f>IF(A147="","",IF(AND(D147&lt;&gt;"",J147="已判定",K147="是",L147="是",COUNTIF('笔记筛选'!$A$6:$A$35,E147)=1,COUNTIF('批次记录'!$A$6:$A$17,B147)=1,COUNTIF('证据索引'!$A$6:$A$105,F147)=1),IF(AND(INDEX('笔记筛选'!$O$6:$O$35,MATCH(E147,'笔记筛选'!$A$6:$A$35,0))=1,INDEX('证据索引'!$H$6:$H$105,MATCH(F147,'证据索引'!$A$6:$A$105,0))="可定位",INDEX('证据索引'!$F$6:$F$105,MATCH(F147,'证据索引'!$A$6:$A$105,0))="是",INDEX('证据索引'!$B$6:$B$105,MATCH(F147,'证据索引'!$A$6:$A$105,0))=E147),1,0),0))</x:f>
      </x:c>
      <x:c r="U147" s="16" t="str">
        <x:f>IF(R147="","",IF(AND(R147=1,COUNTIF($AA$6:$AA$205,D147)&gt;0),1,0))</x:f>
      </x:c>
      <x:c r="V147" s="16" t="str">
        <x:f>IF(R147="","",IF(AND(R147=1,COUNTIFS('问题评论关联'!$C$6:$C$205,D147,'问题评论关联'!$G$6:$G$205,1)&gt;0),1,0))</x:f>
      </x:c>
      <x:c r="W147" s="16" t="str">
        <x:f>IF(S147="","",IF(AND(S147=1,COUNTIFS('问题评论关联'!$C$6:$C$205,D147,'问题评论关联'!$G$6:$G$205,1)&gt;0),1,0))</x:f>
      </x:c>
      <x:c r="X147" s="16" t="str">
        <x:f>IF(A147="","",IF(AND(C147="研究",OR(D147="",J147&lt;&gt;"已判定")),1,0))</x:f>
      </x:c>
      <x:c r="Y147" s="16" t="str">
        <x:f>IF(A147="","",IF(COUNTIF('批次记录'!$A$6:$A$17,B147)&lt;&gt;1,"批次缺失或重复",IF(COUNTIF('笔记筛选'!$A$6:$A$35,E147)&lt;&gt;1,"笔记缺失或重复",IF(AND(K147="是",COUNTIF('证据索引'!$A$6:$A$105,F147)&lt;&gt;1),"证据缺失或重复",""))))</x:f>
      </x:c>
      <x:c r="AA147" s="16" t="str">
        <x:f>IF(A147="","",IF(AND(C147="研究",T147=1),D147,""))</x:f>
      </x:c>
    </x:row>
    <x:row r="148" ht="36" customHeight="1">
      <x:c r="A148" s="11"/>
      <x:c r="B148" s="11"/>
      <x:c r="C148" s="11"/>
      <x:c r="D148" s="11"/>
      <x:c r="E148" s="11"/>
      <x:c r="F148" s="11"/>
      <x:c r="G148" s="17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6" t="str">
        <x:f>IF(A148="","",IF(C148="研究",1,0))</x:f>
      </x:c>
      <x:c r="R148" s="16" t="str">
        <x:f>IF(OR(A148="",C148&lt;&gt;"研究",D148="",J148&lt;&gt;"已判定"),"",IF(COUNTIFS($D$6:D148,D148,$C$6:C148,"研究",$J$6:J148,"已判定")=1,1,0))</x:f>
      </x:c>
      <x:c r="S148" s="16" t="str">
        <x:f>IF(OR(A148="",C148&lt;&gt;"研究",D148="",J148&lt;&gt;"已判定"),"",IF(COUNTIFS($D$6:D148,D148,$B$6:B148,B148,$C$6:C148,"研究",$J$6:J148,"已判定")=1,1,0))</x:f>
      </x:c>
      <x:c r="T148" s="16" t="str">
        <x:f>IF(A148="","",IF(AND(D148&lt;&gt;"",J148="已判定",K148="是",L148="是",COUNTIF('笔记筛选'!$A$6:$A$35,E148)=1,COUNTIF('批次记录'!$A$6:$A$17,B148)=1,COUNTIF('证据索引'!$A$6:$A$105,F148)=1),IF(AND(INDEX('笔记筛选'!$O$6:$O$35,MATCH(E148,'笔记筛选'!$A$6:$A$35,0))=1,INDEX('证据索引'!$H$6:$H$105,MATCH(F148,'证据索引'!$A$6:$A$105,0))="可定位",INDEX('证据索引'!$F$6:$F$105,MATCH(F148,'证据索引'!$A$6:$A$105,0))="是",INDEX('证据索引'!$B$6:$B$105,MATCH(F148,'证据索引'!$A$6:$A$105,0))=E148),1,0),0))</x:f>
      </x:c>
      <x:c r="U148" s="16" t="str">
        <x:f>IF(R148="","",IF(AND(R148=1,COUNTIF($AA$6:$AA$205,D148)&gt;0),1,0))</x:f>
      </x:c>
      <x:c r="V148" s="16" t="str">
        <x:f>IF(R148="","",IF(AND(R148=1,COUNTIFS('问题评论关联'!$C$6:$C$205,D148,'问题评论关联'!$G$6:$G$205,1)&gt;0),1,0))</x:f>
      </x:c>
      <x:c r="W148" s="16" t="str">
        <x:f>IF(S148="","",IF(AND(S148=1,COUNTIFS('问题评论关联'!$C$6:$C$205,D148,'问题评论关联'!$G$6:$G$205,1)&gt;0),1,0))</x:f>
      </x:c>
      <x:c r="X148" s="16" t="str">
        <x:f>IF(A148="","",IF(AND(C148="研究",OR(D148="",J148&lt;&gt;"已判定")),1,0))</x:f>
      </x:c>
      <x:c r="Y148" s="16" t="str">
        <x:f>IF(A148="","",IF(COUNTIF('批次记录'!$A$6:$A$17,B148)&lt;&gt;1,"批次缺失或重复",IF(COUNTIF('笔记筛选'!$A$6:$A$35,E148)&lt;&gt;1,"笔记缺失或重复",IF(AND(K148="是",COUNTIF('证据索引'!$A$6:$A$105,F148)&lt;&gt;1),"证据缺失或重复",""))))</x:f>
      </x:c>
      <x:c r="AA148" s="16" t="str">
        <x:f>IF(A148="","",IF(AND(C148="研究",T148=1),D148,""))</x:f>
      </x:c>
    </x:row>
    <x:row r="149" ht="36" customHeight="1">
      <x:c r="A149" s="11"/>
      <x:c r="B149" s="11"/>
      <x:c r="C149" s="11"/>
      <x:c r="D149" s="11"/>
      <x:c r="E149" s="11"/>
      <x:c r="F149" s="11"/>
      <x:c r="G149" s="17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6" t="str">
        <x:f>IF(A149="","",IF(C149="研究",1,0))</x:f>
      </x:c>
      <x:c r="R149" s="16" t="str">
        <x:f>IF(OR(A149="",C149&lt;&gt;"研究",D149="",J149&lt;&gt;"已判定"),"",IF(COUNTIFS($D$6:D149,D149,$C$6:C149,"研究",$J$6:J149,"已判定")=1,1,0))</x:f>
      </x:c>
      <x:c r="S149" s="16" t="str">
        <x:f>IF(OR(A149="",C149&lt;&gt;"研究",D149="",J149&lt;&gt;"已判定"),"",IF(COUNTIFS($D$6:D149,D149,$B$6:B149,B149,$C$6:C149,"研究",$J$6:J149,"已判定")=1,1,0))</x:f>
      </x:c>
      <x:c r="T149" s="16" t="str">
        <x:f>IF(A149="","",IF(AND(D149&lt;&gt;"",J149="已判定",K149="是",L149="是",COUNTIF('笔记筛选'!$A$6:$A$35,E149)=1,COUNTIF('批次记录'!$A$6:$A$17,B149)=1,COUNTIF('证据索引'!$A$6:$A$105,F149)=1),IF(AND(INDEX('笔记筛选'!$O$6:$O$35,MATCH(E149,'笔记筛选'!$A$6:$A$35,0))=1,INDEX('证据索引'!$H$6:$H$105,MATCH(F149,'证据索引'!$A$6:$A$105,0))="可定位",INDEX('证据索引'!$F$6:$F$105,MATCH(F149,'证据索引'!$A$6:$A$105,0))="是",INDEX('证据索引'!$B$6:$B$105,MATCH(F149,'证据索引'!$A$6:$A$105,0))=E149),1,0),0))</x:f>
      </x:c>
      <x:c r="U149" s="16" t="str">
        <x:f>IF(R149="","",IF(AND(R149=1,COUNTIF($AA$6:$AA$205,D149)&gt;0),1,0))</x:f>
      </x:c>
      <x:c r="V149" s="16" t="str">
        <x:f>IF(R149="","",IF(AND(R149=1,COUNTIFS('问题评论关联'!$C$6:$C$205,D149,'问题评论关联'!$G$6:$G$205,1)&gt;0),1,0))</x:f>
      </x:c>
      <x:c r="W149" s="16" t="str">
        <x:f>IF(S149="","",IF(AND(S149=1,COUNTIFS('问题评论关联'!$C$6:$C$205,D149,'问题评论关联'!$G$6:$G$205,1)&gt;0),1,0))</x:f>
      </x:c>
      <x:c r="X149" s="16" t="str">
        <x:f>IF(A149="","",IF(AND(C149="研究",OR(D149="",J149&lt;&gt;"已判定")),1,0))</x:f>
      </x:c>
      <x:c r="Y149" s="16" t="str">
        <x:f>IF(A149="","",IF(COUNTIF('批次记录'!$A$6:$A$17,B149)&lt;&gt;1,"批次缺失或重复",IF(COUNTIF('笔记筛选'!$A$6:$A$35,E149)&lt;&gt;1,"笔记缺失或重复",IF(AND(K149="是",COUNTIF('证据索引'!$A$6:$A$105,F149)&lt;&gt;1),"证据缺失或重复",""))))</x:f>
      </x:c>
      <x:c r="AA149" s="16" t="str">
        <x:f>IF(A149="","",IF(AND(C149="研究",T149=1),D149,""))</x:f>
      </x:c>
    </x:row>
    <x:row r="150" ht="36" customHeight="1">
      <x:c r="A150" s="11"/>
      <x:c r="B150" s="11"/>
      <x:c r="C150" s="11"/>
      <x:c r="D150" s="11"/>
      <x:c r="E150" s="11"/>
      <x:c r="F150" s="11"/>
      <x:c r="G150" s="17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6" t="str">
        <x:f>IF(A150="","",IF(C150="研究",1,0))</x:f>
      </x:c>
      <x:c r="R150" s="16" t="str">
        <x:f>IF(OR(A150="",C150&lt;&gt;"研究",D150="",J150&lt;&gt;"已判定"),"",IF(COUNTIFS($D$6:D150,D150,$C$6:C150,"研究",$J$6:J150,"已判定")=1,1,0))</x:f>
      </x:c>
      <x:c r="S150" s="16" t="str">
        <x:f>IF(OR(A150="",C150&lt;&gt;"研究",D150="",J150&lt;&gt;"已判定"),"",IF(COUNTIFS($D$6:D150,D150,$B$6:B150,B150,$C$6:C150,"研究",$J$6:J150,"已判定")=1,1,0))</x:f>
      </x:c>
      <x:c r="T150" s="16" t="str">
        <x:f>IF(A150="","",IF(AND(D150&lt;&gt;"",J150="已判定",K150="是",L150="是",COUNTIF('笔记筛选'!$A$6:$A$35,E150)=1,COUNTIF('批次记录'!$A$6:$A$17,B150)=1,COUNTIF('证据索引'!$A$6:$A$105,F150)=1),IF(AND(INDEX('笔记筛选'!$O$6:$O$35,MATCH(E150,'笔记筛选'!$A$6:$A$35,0))=1,INDEX('证据索引'!$H$6:$H$105,MATCH(F150,'证据索引'!$A$6:$A$105,0))="可定位",INDEX('证据索引'!$F$6:$F$105,MATCH(F150,'证据索引'!$A$6:$A$105,0))="是",INDEX('证据索引'!$B$6:$B$105,MATCH(F150,'证据索引'!$A$6:$A$105,0))=E150),1,0),0))</x:f>
      </x:c>
      <x:c r="U150" s="16" t="str">
        <x:f>IF(R150="","",IF(AND(R150=1,COUNTIF($AA$6:$AA$205,D150)&gt;0),1,0))</x:f>
      </x:c>
      <x:c r="V150" s="16" t="str">
        <x:f>IF(R150="","",IF(AND(R150=1,COUNTIFS('问题评论关联'!$C$6:$C$205,D150,'问题评论关联'!$G$6:$G$205,1)&gt;0),1,0))</x:f>
      </x:c>
      <x:c r="W150" s="16" t="str">
        <x:f>IF(S150="","",IF(AND(S150=1,COUNTIFS('问题评论关联'!$C$6:$C$205,D150,'问题评论关联'!$G$6:$G$205,1)&gt;0),1,0))</x:f>
      </x:c>
      <x:c r="X150" s="16" t="str">
        <x:f>IF(A150="","",IF(AND(C150="研究",OR(D150="",J150&lt;&gt;"已判定")),1,0))</x:f>
      </x:c>
      <x:c r="Y150" s="16" t="str">
        <x:f>IF(A150="","",IF(COUNTIF('批次记录'!$A$6:$A$17,B150)&lt;&gt;1,"批次缺失或重复",IF(COUNTIF('笔记筛选'!$A$6:$A$35,E150)&lt;&gt;1,"笔记缺失或重复",IF(AND(K150="是",COUNTIF('证据索引'!$A$6:$A$105,F150)&lt;&gt;1),"证据缺失或重复",""))))</x:f>
      </x:c>
      <x:c r="AA150" s="16" t="str">
        <x:f>IF(A150="","",IF(AND(C150="研究",T150=1),D150,""))</x:f>
      </x:c>
    </x:row>
    <x:row r="151" ht="36" customHeight="1">
      <x:c r="A151" s="11"/>
      <x:c r="B151" s="11"/>
      <x:c r="C151" s="11"/>
      <x:c r="D151" s="11"/>
      <x:c r="E151" s="11"/>
      <x:c r="F151" s="11"/>
      <x:c r="G151" s="17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6" t="str">
        <x:f>IF(A151="","",IF(C151="研究",1,0))</x:f>
      </x:c>
      <x:c r="R151" s="16" t="str">
        <x:f>IF(OR(A151="",C151&lt;&gt;"研究",D151="",J151&lt;&gt;"已判定"),"",IF(COUNTIFS($D$6:D151,D151,$C$6:C151,"研究",$J$6:J151,"已判定")=1,1,0))</x:f>
      </x:c>
      <x:c r="S151" s="16" t="str">
        <x:f>IF(OR(A151="",C151&lt;&gt;"研究",D151="",J151&lt;&gt;"已判定"),"",IF(COUNTIFS($D$6:D151,D151,$B$6:B151,B151,$C$6:C151,"研究",$J$6:J151,"已判定")=1,1,0))</x:f>
      </x:c>
      <x:c r="T151" s="16" t="str">
        <x:f>IF(A151="","",IF(AND(D151&lt;&gt;"",J151="已判定",K151="是",L151="是",COUNTIF('笔记筛选'!$A$6:$A$35,E151)=1,COUNTIF('批次记录'!$A$6:$A$17,B151)=1,COUNTIF('证据索引'!$A$6:$A$105,F151)=1),IF(AND(INDEX('笔记筛选'!$O$6:$O$35,MATCH(E151,'笔记筛选'!$A$6:$A$35,0))=1,INDEX('证据索引'!$H$6:$H$105,MATCH(F151,'证据索引'!$A$6:$A$105,0))="可定位",INDEX('证据索引'!$F$6:$F$105,MATCH(F151,'证据索引'!$A$6:$A$105,0))="是",INDEX('证据索引'!$B$6:$B$105,MATCH(F151,'证据索引'!$A$6:$A$105,0))=E151),1,0),0))</x:f>
      </x:c>
      <x:c r="U151" s="16" t="str">
        <x:f>IF(R151="","",IF(AND(R151=1,COUNTIF($AA$6:$AA$205,D151)&gt;0),1,0))</x:f>
      </x:c>
      <x:c r="V151" s="16" t="str">
        <x:f>IF(R151="","",IF(AND(R151=1,COUNTIFS('问题评论关联'!$C$6:$C$205,D151,'问题评论关联'!$G$6:$G$205,1)&gt;0),1,0))</x:f>
      </x:c>
      <x:c r="W151" s="16" t="str">
        <x:f>IF(S151="","",IF(AND(S151=1,COUNTIFS('问题评论关联'!$C$6:$C$205,D151,'问题评论关联'!$G$6:$G$205,1)&gt;0),1,0))</x:f>
      </x:c>
      <x:c r="X151" s="16" t="str">
        <x:f>IF(A151="","",IF(AND(C151="研究",OR(D151="",J151&lt;&gt;"已判定")),1,0))</x:f>
      </x:c>
      <x:c r="Y151" s="16" t="str">
        <x:f>IF(A151="","",IF(COUNTIF('批次记录'!$A$6:$A$17,B151)&lt;&gt;1,"批次缺失或重复",IF(COUNTIF('笔记筛选'!$A$6:$A$35,E151)&lt;&gt;1,"笔记缺失或重复",IF(AND(K151="是",COUNTIF('证据索引'!$A$6:$A$105,F151)&lt;&gt;1),"证据缺失或重复",""))))</x:f>
      </x:c>
      <x:c r="AA151" s="16" t="str">
        <x:f>IF(A151="","",IF(AND(C151="研究",T151=1),D151,""))</x:f>
      </x:c>
    </x:row>
    <x:row r="152" ht="36" customHeight="1">
      <x:c r="A152" s="11"/>
      <x:c r="B152" s="11"/>
      <x:c r="C152" s="11"/>
      <x:c r="D152" s="11"/>
      <x:c r="E152" s="11"/>
      <x:c r="F152" s="11"/>
      <x:c r="G152" s="17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6" t="str">
        <x:f>IF(A152="","",IF(C152="研究",1,0))</x:f>
      </x:c>
      <x:c r="R152" s="16" t="str">
        <x:f>IF(OR(A152="",C152&lt;&gt;"研究",D152="",J152&lt;&gt;"已判定"),"",IF(COUNTIFS($D$6:D152,D152,$C$6:C152,"研究",$J$6:J152,"已判定")=1,1,0))</x:f>
      </x:c>
      <x:c r="S152" s="16" t="str">
        <x:f>IF(OR(A152="",C152&lt;&gt;"研究",D152="",J152&lt;&gt;"已判定"),"",IF(COUNTIFS($D$6:D152,D152,$B$6:B152,B152,$C$6:C152,"研究",$J$6:J152,"已判定")=1,1,0))</x:f>
      </x:c>
      <x:c r="T152" s="16" t="str">
        <x:f>IF(A152="","",IF(AND(D152&lt;&gt;"",J152="已判定",K152="是",L152="是",COUNTIF('笔记筛选'!$A$6:$A$35,E152)=1,COUNTIF('批次记录'!$A$6:$A$17,B152)=1,COUNTIF('证据索引'!$A$6:$A$105,F152)=1),IF(AND(INDEX('笔记筛选'!$O$6:$O$35,MATCH(E152,'笔记筛选'!$A$6:$A$35,0))=1,INDEX('证据索引'!$H$6:$H$105,MATCH(F152,'证据索引'!$A$6:$A$105,0))="可定位",INDEX('证据索引'!$F$6:$F$105,MATCH(F152,'证据索引'!$A$6:$A$105,0))="是",INDEX('证据索引'!$B$6:$B$105,MATCH(F152,'证据索引'!$A$6:$A$105,0))=E152),1,0),0))</x:f>
      </x:c>
      <x:c r="U152" s="16" t="str">
        <x:f>IF(R152="","",IF(AND(R152=1,COUNTIF($AA$6:$AA$205,D152)&gt;0),1,0))</x:f>
      </x:c>
      <x:c r="V152" s="16" t="str">
        <x:f>IF(R152="","",IF(AND(R152=1,COUNTIFS('问题评论关联'!$C$6:$C$205,D152,'问题评论关联'!$G$6:$G$205,1)&gt;0),1,0))</x:f>
      </x:c>
      <x:c r="W152" s="16" t="str">
        <x:f>IF(S152="","",IF(AND(S152=1,COUNTIFS('问题评论关联'!$C$6:$C$205,D152,'问题评论关联'!$G$6:$G$205,1)&gt;0),1,0))</x:f>
      </x:c>
      <x:c r="X152" s="16" t="str">
        <x:f>IF(A152="","",IF(AND(C152="研究",OR(D152="",J152&lt;&gt;"已判定")),1,0))</x:f>
      </x:c>
      <x:c r="Y152" s="16" t="str">
        <x:f>IF(A152="","",IF(COUNTIF('批次记录'!$A$6:$A$17,B152)&lt;&gt;1,"批次缺失或重复",IF(COUNTIF('笔记筛选'!$A$6:$A$35,E152)&lt;&gt;1,"笔记缺失或重复",IF(AND(K152="是",COUNTIF('证据索引'!$A$6:$A$105,F152)&lt;&gt;1),"证据缺失或重复",""))))</x:f>
      </x:c>
      <x:c r="AA152" s="16" t="str">
        <x:f>IF(A152="","",IF(AND(C152="研究",T152=1),D152,""))</x:f>
      </x:c>
    </x:row>
    <x:row r="153" ht="36" customHeight="1">
      <x:c r="A153" s="11"/>
      <x:c r="B153" s="11"/>
      <x:c r="C153" s="11"/>
      <x:c r="D153" s="11"/>
      <x:c r="E153" s="11"/>
      <x:c r="F153" s="11"/>
      <x:c r="G153" s="17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6" t="str">
        <x:f>IF(A153="","",IF(C153="研究",1,0))</x:f>
      </x:c>
      <x:c r="R153" s="16" t="str">
        <x:f>IF(OR(A153="",C153&lt;&gt;"研究",D153="",J153&lt;&gt;"已判定"),"",IF(COUNTIFS($D$6:D153,D153,$C$6:C153,"研究",$J$6:J153,"已判定")=1,1,0))</x:f>
      </x:c>
      <x:c r="S153" s="16" t="str">
        <x:f>IF(OR(A153="",C153&lt;&gt;"研究",D153="",J153&lt;&gt;"已判定"),"",IF(COUNTIFS($D$6:D153,D153,$B$6:B153,B153,$C$6:C153,"研究",$J$6:J153,"已判定")=1,1,0))</x:f>
      </x:c>
      <x:c r="T153" s="16" t="str">
        <x:f>IF(A153="","",IF(AND(D153&lt;&gt;"",J153="已判定",K153="是",L153="是",COUNTIF('笔记筛选'!$A$6:$A$35,E153)=1,COUNTIF('批次记录'!$A$6:$A$17,B153)=1,COUNTIF('证据索引'!$A$6:$A$105,F153)=1),IF(AND(INDEX('笔记筛选'!$O$6:$O$35,MATCH(E153,'笔记筛选'!$A$6:$A$35,0))=1,INDEX('证据索引'!$H$6:$H$105,MATCH(F153,'证据索引'!$A$6:$A$105,0))="可定位",INDEX('证据索引'!$F$6:$F$105,MATCH(F153,'证据索引'!$A$6:$A$105,0))="是",INDEX('证据索引'!$B$6:$B$105,MATCH(F153,'证据索引'!$A$6:$A$105,0))=E153),1,0),0))</x:f>
      </x:c>
      <x:c r="U153" s="16" t="str">
        <x:f>IF(R153="","",IF(AND(R153=1,COUNTIF($AA$6:$AA$205,D153)&gt;0),1,0))</x:f>
      </x:c>
      <x:c r="V153" s="16" t="str">
        <x:f>IF(R153="","",IF(AND(R153=1,COUNTIFS('问题评论关联'!$C$6:$C$205,D153,'问题评论关联'!$G$6:$G$205,1)&gt;0),1,0))</x:f>
      </x:c>
      <x:c r="W153" s="16" t="str">
        <x:f>IF(S153="","",IF(AND(S153=1,COUNTIFS('问题评论关联'!$C$6:$C$205,D153,'问题评论关联'!$G$6:$G$205,1)&gt;0),1,0))</x:f>
      </x:c>
      <x:c r="X153" s="16" t="str">
        <x:f>IF(A153="","",IF(AND(C153="研究",OR(D153="",J153&lt;&gt;"已判定")),1,0))</x:f>
      </x:c>
      <x:c r="Y153" s="16" t="str">
        <x:f>IF(A153="","",IF(COUNTIF('批次记录'!$A$6:$A$17,B153)&lt;&gt;1,"批次缺失或重复",IF(COUNTIF('笔记筛选'!$A$6:$A$35,E153)&lt;&gt;1,"笔记缺失或重复",IF(AND(K153="是",COUNTIF('证据索引'!$A$6:$A$105,F153)&lt;&gt;1),"证据缺失或重复",""))))</x:f>
      </x:c>
      <x:c r="AA153" s="16" t="str">
        <x:f>IF(A153="","",IF(AND(C153="研究",T153=1),D153,""))</x:f>
      </x:c>
    </x:row>
    <x:row r="154" ht="36" customHeight="1">
      <x:c r="A154" s="11"/>
      <x:c r="B154" s="11"/>
      <x:c r="C154" s="11"/>
      <x:c r="D154" s="11"/>
      <x:c r="E154" s="11"/>
      <x:c r="F154" s="11"/>
      <x:c r="G154" s="17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6" t="str">
        <x:f>IF(A154="","",IF(C154="研究",1,0))</x:f>
      </x:c>
      <x:c r="R154" s="16" t="str">
        <x:f>IF(OR(A154="",C154&lt;&gt;"研究",D154="",J154&lt;&gt;"已判定"),"",IF(COUNTIFS($D$6:D154,D154,$C$6:C154,"研究",$J$6:J154,"已判定")=1,1,0))</x:f>
      </x:c>
      <x:c r="S154" s="16" t="str">
        <x:f>IF(OR(A154="",C154&lt;&gt;"研究",D154="",J154&lt;&gt;"已判定"),"",IF(COUNTIFS($D$6:D154,D154,$B$6:B154,B154,$C$6:C154,"研究",$J$6:J154,"已判定")=1,1,0))</x:f>
      </x:c>
      <x:c r="T154" s="16" t="str">
        <x:f>IF(A154="","",IF(AND(D154&lt;&gt;"",J154="已判定",K154="是",L154="是",COUNTIF('笔记筛选'!$A$6:$A$35,E154)=1,COUNTIF('批次记录'!$A$6:$A$17,B154)=1,COUNTIF('证据索引'!$A$6:$A$105,F154)=1),IF(AND(INDEX('笔记筛选'!$O$6:$O$35,MATCH(E154,'笔记筛选'!$A$6:$A$35,0))=1,INDEX('证据索引'!$H$6:$H$105,MATCH(F154,'证据索引'!$A$6:$A$105,0))="可定位",INDEX('证据索引'!$F$6:$F$105,MATCH(F154,'证据索引'!$A$6:$A$105,0))="是",INDEX('证据索引'!$B$6:$B$105,MATCH(F154,'证据索引'!$A$6:$A$105,0))=E154),1,0),0))</x:f>
      </x:c>
      <x:c r="U154" s="16" t="str">
        <x:f>IF(R154="","",IF(AND(R154=1,COUNTIF($AA$6:$AA$205,D154)&gt;0),1,0))</x:f>
      </x:c>
      <x:c r="V154" s="16" t="str">
        <x:f>IF(R154="","",IF(AND(R154=1,COUNTIFS('问题评论关联'!$C$6:$C$205,D154,'问题评论关联'!$G$6:$G$205,1)&gt;0),1,0))</x:f>
      </x:c>
      <x:c r="W154" s="16" t="str">
        <x:f>IF(S154="","",IF(AND(S154=1,COUNTIFS('问题评论关联'!$C$6:$C$205,D154,'问题评论关联'!$G$6:$G$205,1)&gt;0),1,0))</x:f>
      </x:c>
      <x:c r="X154" s="16" t="str">
        <x:f>IF(A154="","",IF(AND(C154="研究",OR(D154="",J154&lt;&gt;"已判定")),1,0))</x:f>
      </x:c>
      <x:c r="Y154" s="16" t="str">
        <x:f>IF(A154="","",IF(COUNTIF('批次记录'!$A$6:$A$17,B154)&lt;&gt;1,"批次缺失或重复",IF(COUNTIF('笔记筛选'!$A$6:$A$35,E154)&lt;&gt;1,"笔记缺失或重复",IF(AND(K154="是",COUNTIF('证据索引'!$A$6:$A$105,F154)&lt;&gt;1),"证据缺失或重复",""))))</x:f>
      </x:c>
      <x:c r="AA154" s="16" t="str">
        <x:f>IF(A154="","",IF(AND(C154="研究",T154=1),D154,""))</x:f>
      </x:c>
    </x:row>
    <x:row r="155" ht="36" customHeight="1">
      <x:c r="A155" s="11"/>
      <x:c r="B155" s="11"/>
      <x:c r="C155" s="11"/>
      <x:c r="D155" s="11"/>
      <x:c r="E155" s="11"/>
      <x:c r="F155" s="11"/>
      <x:c r="G155" s="17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6" t="str">
        <x:f>IF(A155="","",IF(C155="研究",1,0))</x:f>
      </x:c>
      <x:c r="R155" s="16" t="str">
        <x:f>IF(OR(A155="",C155&lt;&gt;"研究",D155="",J155&lt;&gt;"已判定"),"",IF(COUNTIFS($D$6:D155,D155,$C$6:C155,"研究",$J$6:J155,"已判定")=1,1,0))</x:f>
      </x:c>
      <x:c r="S155" s="16" t="str">
        <x:f>IF(OR(A155="",C155&lt;&gt;"研究",D155="",J155&lt;&gt;"已判定"),"",IF(COUNTIFS($D$6:D155,D155,$B$6:B155,B155,$C$6:C155,"研究",$J$6:J155,"已判定")=1,1,0))</x:f>
      </x:c>
      <x:c r="T155" s="16" t="str">
        <x:f>IF(A155="","",IF(AND(D155&lt;&gt;"",J155="已判定",K155="是",L155="是",COUNTIF('笔记筛选'!$A$6:$A$35,E155)=1,COUNTIF('批次记录'!$A$6:$A$17,B155)=1,COUNTIF('证据索引'!$A$6:$A$105,F155)=1),IF(AND(INDEX('笔记筛选'!$O$6:$O$35,MATCH(E155,'笔记筛选'!$A$6:$A$35,0))=1,INDEX('证据索引'!$H$6:$H$105,MATCH(F155,'证据索引'!$A$6:$A$105,0))="可定位",INDEX('证据索引'!$F$6:$F$105,MATCH(F155,'证据索引'!$A$6:$A$105,0))="是",INDEX('证据索引'!$B$6:$B$105,MATCH(F155,'证据索引'!$A$6:$A$105,0))=E155),1,0),0))</x:f>
      </x:c>
      <x:c r="U155" s="16" t="str">
        <x:f>IF(R155="","",IF(AND(R155=1,COUNTIF($AA$6:$AA$205,D155)&gt;0),1,0))</x:f>
      </x:c>
      <x:c r="V155" s="16" t="str">
        <x:f>IF(R155="","",IF(AND(R155=1,COUNTIFS('问题评论关联'!$C$6:$C$205,D155,'问题评论关联'!$G$6:$G$205,1)&gt;0),1,0))</x:f>
      </x:c>
      <x:c r="W155" s="16" t="str">
        <x:f>IF(S155="","",IF(AND(S155=1,COUNTIFS('问题评论关联'!$C$6:$C$205,D155,'问题评论关联'!$G$6:$G$205,1)&gt;0),1,0))</x:f>
      </x:c>
      <x:c r="X155" s="16" t="str">
        <x:f>IF(A155="","",IF(AND(C155="研究",OR(D155="",J155&lt;&gt;"已判定")),1,0))</x:f>
      </x:c>
      <x:c r="Y155" s="16" t="str">
        <x:f>IF(A155="","",IF(COUNTIF('批次记录'!$A$6:$A$17,B155)&lt;&gt;1,"批次缺失或重复",IF(COUNTIF('笔记筛选'!$A$6:$A$35,E155)&lt;&gt;1,"笔记缺失或重复",IF(AND(K155="是",COUNTIF('证据索引'!$A$6:$A$105,F155)&lt;&gt;1),"证据缺失或重复",""))))</x:f>
      </x:c>
      <x:c r="AA155" s="16" t="str">
        <x:f>IF(A155="","",IF(AND(C155="研究",T155=1),D155,""))</x:f>
      </x:c>
    </x:row>
    <x:row r="156" ht="36" customHeight="1">
      <x:c r="A156" s="11"/>
      <x:c r="B156" s="11"/>
      <x:c r="C156" s="11"/>
      <x:c r="D156" s="11"/>
      <x:c r="E156" s="11"/>
      <x:c r="F156" s="11"/>
      <x:c r="G156" s="17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6" t="str">
        <x:f>IF(A156="","",IF(C156="研究",1,0))</x:f>
      </x:c>
      <x:c r="R156" s="16" t="str">
        <x:f>IF(OR(A156="",C156&lt;&gt;"研究",D156="",J156&lt;&gt;"已判定"),"",IF(COUNTIFS($D$6:D156,D156,$C$6:C156,"研究",$J$6:J156,"已判定")=1,1,0))</x:f>
      </x:c>
      <x:c r="S156" s="16" t="str">
        <x:f>IF(OR(A156="",C156&lt;&gt;"研究",D156="",J156&lt;&gt;"已判定"),"",IF(COUNTIFS($D$6:D156,D156,$B$6:B156,B156,$C$6:C156,"研究",$J$6:J156,"已判定")=1,1,0))</x:f>
      </x:c>
      <x:c r="T156" s="16" t="str">
        <x:f>IF(A156="","",IF(AND(D156&lt;&gt;"",J156="已判定",K156="是",L156="是",COUNTIF('笔记筛选'!$A$6:$A$35,E156)=1,COUNTIF('批次记录'!$A$6:$A$17,B156)=1,COUNTIF('证据索引'!$A$6:$A$105,F156)=1),IF(AND(INDEX('笔记筛选'!$O$6:$O$35,MATCH(E156,'笔记筛选'!$A$6:$A$35,0))=1,INDEX('证据索引'!$H$6:$H$105,MATCH(F156,'证据索引'!$A$6:$A$105,0))="可定位",INDEX('证据索引'!$F$6:$F$105,MATCH(F156,'证据索引'!$A$6:$A$105,0))="是",INDEX('证据索引'!$B$6:$B$105,MATCH(F156,'证据索引'!$A$6:$A$105,0))=E156),1,0),0))</x:f>
      </x:c>
      <x:c r="U156" s="16" t="str">
        <x:f>IF(R156="","",IF(AND(R156=1,COUNTIF($AA$6:$AA$205,D156)&gt;0),1,0))</x:f>
      </x:c>
      <x:c r="V156" s="16" t="str">
        <x:f>IF(R156="","",IF(AND(R156=1,COUNTIFS('问题评论关联'!$C$6:$C$205,D156,'问题评论关联'!$G$6:$G$205,1)&gt;0),1,0))</x:f>
      </x:c>
      <x:c r="W156" s="16" t="str">
        <x:f>IF(S156="","",IF(AND(S156=1,COUNTIFS('问题评论关联'!$C$6:$C$205,D156,'问题评论关联'!$G$6:$G$205,1)&gt;0),1,0))</x:f>
      </x:c>
      <x:c r="X156" s="16" t="str">
        <x:f>IF(A156="","",IF(AND(C156="研究",OR(D156="",J156&lt;&gt;"已判定")),1,0))</x:f>
      </x:c>
      <x:c r="Y156" s="16" t="str">
        <x:f>IF(A156="","",IF(COUNTIF('批次记录'!$A$6:$A$17,B156)&lt;&gt;1,"批次缺失或重复",IF(COUNTIF('笔记筛选'!$A$6:$A$35,E156)&lt;&gt;1,"笔记缺失或重复",IF(AND(K156="是",COUNTIF('证据索引'!$A$6:$A$105,F156)&lt;&gt;1),"证据缺失或重复",""))))</x:f>
      </x:c>
      <x:c r="AA156" s="16" t="str">
        <x:f>IF(A156="","",IF(AND(C156="研究",T156=1),D156,""))</x:f>
      </x:c>
    </x:row>
    <x:row r="157" ht="36" customHeight="1">
      <x:c r="A157" s="11"/>
      <x:c r="B157" s="11"/>
      <x:c r="C157" s="11"/>
      <x:c r="D157" s="11"/>
      <x:c r="E157" s="11"/>
      <x:c r="F157" s="11"/>
      <x:c r="G157" s="17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6" t="str">
        <x:f>IF(A157="","",IF(C157="研究",1,0))</x:f>
      </x:c>
      <x:c r="R157" s="16" t="str">
        <x:f>IF(OR(A157="",C157&lt;&gt;"研究",D157="",J157&lt;&gt;"已判定"),"",IF(COUNTIFS($D$6:D157,D157,$C$6:C157,"研究",$J$6:J157,"已判定")=1,1,0))</x:f>
      </x:c>
      <x:c r="S157" s="16" t="str">
        <x:f>IF(OR(A157="",C157&lt;&gt;"研究",D157="",J157&lt;&gt;"已判定"),"",IF(COUNTIFS($D$6:D157,D157,$B$6:B157,B157,$C$6:C157,"研究",$J$6:J157,"已判定")=1,1,0))</x:f>
      </x:c>
      <x:c r="T157" s="16" t="str">
        <x:f>IF(A157="","",IF(AND(D157&lt;&gt;"",J157="已判定",K157="是",L157="是",COUNTIF('笔记筛选'!$A$6:$A$35,E157)=1,COUNTIF('批次记录'!$A$6:$A$17,B157)=1,COUNTIF('证据索引'!$A$6:$A$105,F157)=1),IF(AND(INDEX('笔记筛选'!$O$6:$O$35,MATCH(E157,'笔记筛选'!$A$6:$A$35,0))=1,INDEX('证据索引'!$H$6:$H$105,MATCH(F157,'证据索引'!$A$6:$A$105,0))="可定位",INDEX('证据索引'!$F$6:$F$105,MATCH(F157,'证据索引'!$A$6:$A$105,0))="是",INDEX('证据索引'!$B$6:$B$105,MATCH(F157,'证据索引'!$A$6:$A$105,0))=E157),1,0),0))</x:f>
      </x:c>
      <x:c r="U157" s="16" t="str">
        <x:f>IF(R157="","",IF(AND(R157=1,COUNTIF($AA$6:$AA$205,D157)&gt;0),1,0))</x:f>
      </x:c>
      <x:c r="V157" s="16" t="str">
        <x:f>IF(R157="","",IF(AND(R157=1,COUNTIFS('问题评论关联'!$C$6:$C$205,D157,'问题评论关联'!$G$6:$G$205,1)&gt;0),1,0))</x:f>
      </x:c>
      <x:c r="W157" s="16" t="str">
        <x:f>IF(S157="","",IF(AND(S157=1,COUNTIFS('问题评论关联'!$C$6:$C$205,D157,'问题评论关联'!$G$6:$G$205,1)&gt;0),1,0))</x:f>
      </x:c>
      <x:c r="X157" s="16" t="str">
        <x:f>IF(A157="","",IF(AND(C157="研究",OR(D157="",J157&lt;&gt;"已判定")),1,0))</x:f>
      </x:c>
      <x:c r="Y157" s="16" t="str">
        <x:f>IF(A157="","",IF(COUNTIF('批次记录'!$A$6:$A$17,B157)&lt;&gt;1,"批次缺失或重复",IF(COUNTIF('笔记筛选'!$A$6:$A$35,E157)&lt;&gt;1,"笔记缺失或重复",IF(AND(K157="是",COUNTIF('证据索引'!$A$6:$A$105,F157)&lt;&gt;1),"证据缺失或重复",""))))</x:f>
      </x:c>
      <x:c r="AA157" s="16" t="str">
        <x:f>IF(A157="","",IF(AND(C157="研究",T157=1),D157,""))</x:f>
      </x:c>
    </x:row>
    <x:row r="158" ht="36" customHeight="1">
      <x:c r="A158" s="11"/>
      <x:c r="B158" s="11"/>
      <x:c r="C158" s="11"/>
      <x:c r="D158" s="11"/>
      <x:c r="E158" s="11"/>
      <x:c r="F158" s="11"/>
      <x:c r="G158" s="17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6" t="str">
        <x:f>IF(A158="","",IF(C158="研究",1,0))</x:f>
      </x:c>
      <x:c r="R158" s="16" t="str">
        <x:f>IF(OR(A158="",C158&lt;&gt;"研究",D158="",J158&lt;&gt;"已判定"),"",IF(COUNTIFS($D$6:D158,D158,$C$6:C158,"研究",$J$6:J158,"已判定")=1,1,0))</x:f>
      </x:c>
      <x:c r="S158" s="16" t="str">
        <x:f>IF(OR(A158="",C158&lt;&gt;"研究",D158="",J158&lt;&gt;"已判定"),"",IF(COUNTIFS($D$6:D158,D158,$B$6:B158,B158,$C$6:C158,"研究",$J$6:J158,"已判定")=1,1,0))</x:f>
      </x:c>
      <x:c r="T158" s="16" t="str">
        <x:f>IF(A158="","",IF(AND(D158&lt;&gt;"",J158="已判定",K158="是",L158="是",COUNTIF('笔记筛选'!$A$6:$A$35,E158)=1,COUNTIF('批次记录'!$A$6:$A$17,B158)=1,COUNTIF('证据索引'!$A$6:$A$105,F158)=1),IF(AND(INDEX('笔记筛选'!$O$6:$O$35,MATCH(E158,'笔记筛选'!$A$6:$A$35,0))=1,INDEX('证据索引'!$H$6:$H$105,MATCH(F158,'证据索引'!$A$6:$A$105,0))="可定位",INDEX('证据索引'!$F$6:$F$105,MATCH(F158,'证据索引'!$A$6:$A$105,0))="是",INDEX('证据索引'!$B$6:$B$105,MATCH(F158,'证据索引'!$A$6:$A$105,0))=E158),1,0),0))</x:f>
      </x:c>
      <x:c r="U158" s="16" t="str">
        <x:f>IF(R158="","",IF(AND(R158=1,COUNTIF($AA$6:$AA$205,D158)&gt;0),1,0))</x:f>
      </x:c>
      <x:c r="V158" s="16" t="str">
        <x:f>IF(R158="","",IF(AND(R158=1,COUNTIFS('问题评论关联'!$C$6:$C$205,D158,'问题评论关联'!$G$6:$G$205,1)&gt;0),1,0))</x:f>
      </x:c>
      <x:c r="W158" s="16" t="str">
        <x:f>IF(S158="","",IF(AND(S158=1,COUNTIFS('问题评论关联'!$C$6:$C$205,D158,'问题评论关联'!$G$6:$G$205,1)&gt;0),1,0))</x:f>
      </x:c>
      <x:c r="X158" s="16" t="str">
        <x:f>IF(A158="","",IF(AND(C158="研究",OR(D158="",J158&lt;&gt;"已判定")),1,0))</x:f>
      </x:c>
      <x:c r="Y158" s="16" t="str">
        <x:f>IF(A158="","",IF(COUNTIF('批次记录'!$A$6:$A$17,B158)&lt;&gt;1,"批次缺失或重复",IF(COUNTIF('笔记筛选'!$A$6:$A$35,E158)&lt;&gt;1,"笔记缺失或重复",IF(AND(K158="是",COUNTIF('证据索引'!$A$6:$A$105,F158)&lt;&gt;1),"证据缺失或重复",""))))</x:f>
      </x:c>
      <x:c r="AA158" s="16" t="str">
        <x:f>IF(A158="","",IF(AND(C158="研究",T158=1),D158,""))</x:f>
      </x:c>
    </x:row>
    <x:row r="159" ht="36" customHeight="1">
      <x:c r="A159" s="11"/>
      <x:c r="B159" s="11"/>
      <x:c r="C159" s="11"/>
      <x:c r="D159" s="11"/>
      <x:c r="E159" s="11"/>
      <x:c r="F159" s="11"/>
      <x:c r="G159" s="17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6" t="str">
        <x:f>IF(A159="","",IF(C159="研究",1,0))</x:f>
      </x:c>
      <x:c r="R159" s="16" t="str">
        <x:f>IF(OR(A159="",C159&lt;&gt;"研究",D159="",J159&lt;&gt;"已判定"),"",IF(COUNTIFS($D$6:D159,D159,$C$6:C159,"研究",$J$6:J159,"已判定")=1,1,0))</x:f>
      </x:c>
      <x:c r="S159" s="16" t="str">
        <x:f>IF(OR(A159="",C159&lt;&gt;"研究",D159="",J159&lt;&gt;"已判定"),"",IF(COUNTIFS($D$6:D159,D159,$B$6:B159,B159,$C$6:C159,"研究",$J$6:J159,"已判定")=1,1,0))</x:f>
      </x:c>
      <x:c r="T159" s="16" t="str">
        <x:f>IF(A159="","",IF(AND(D159&lt;&gt;"",J159="已判定",K159="是",L159="是",COUNTIF('笔记筛选'!$A$6:$A$35,E159)=1,COUNTIF('批次记录'!$A$6:$A$17,B159)=1,COUNTIF('证据索引'!$A$6:$A$105,F159)=1),IF(AND(INDEX('笔记筛选'!$O$6:$O$35,MATCH(E159,'笔记筛选'!$A$6:$A$35,0))=1,INDEX('证据索引'!$H$6:$H$105,MATCH(F159,'证据索引'!$A$6:$A$105,0))="可定位",INDEX('证据索引'!$F$6:$F$105,MATCH(F159,'证据索引'!$A$6:$A$105,0))="是",INDEX('证据索引'!$B$6:$B$105,MATCH(F159,'证据索引'!$A$6:$A$105,0))=E159),1,0),0))</x:f>
      </x:c>
      <x:c r="U159" s="16" t="str">
        <x:f>IF(R159="","",IF(AND(R159=1,COUNTIF($AA$6:$AA$205,D159)&gt;0),1,0))</x:f>
      </x:c>
      <x:c r="V159" s="16" t="str">
        <x:f>IF(R159="","",IF(AND(R159=1,COUNTIFS('问题评论关联'!$C$6:$C$205,D159,'问题评论关联'!$G$6:$G$205,1)&gt;0),1,0))</x:f>
      </x:c>
      <x:c r="W159" s="16" t="str">
        <x:f>IF(S159="","",IF(AND(S159=1,COUNTIFS('问题评论关联'!$C$6:$C$205,D159,'问题评论关联'!$G$6:$G$205,1)&gt;0),1,0))</x:f>
      </x:c>
      <x:c r="X159" s="16" t="str">
        <x:f>IF(A159="","",IF(AND(C159="研究",OR(D159="",J159&lt;&gt;"已判定")),1,0))</x:f>
      </x:c>
      <x:c r="Y159" s="16" t="str">
        <x:f>IF(A159="","",IF(COUNTIF('批次记录'!$A$6:$A$17,B159)&lt;&gt;1,"批次缺失或重复",IF(COUNTIF('笔记筛选'!$A$6:$A$35,E159)&lt;&gt;1,"笔记缺失或重复",IF(AND(K159="是",COUNTIF('证据索引'!$A$6:$A$105,F159)&lt;&gt;1),"证据缺失或重复",""))))</x:f>
      </x:c>
      <x:c r="AA159" s="16" t="str">
        <x:f>IF(A159="","",IF(AND(C159="研究",T159=1),D159,""))</x:f>
      </x:c>
    </x:row>
    <x:row r="160" ht="36" customHeight="1">
      <x:c r="A160" s="11"/>
      <x:c r="B160" s="11"/>
      <x:c r="C160" s="11"/>
      <x:c r="D160" s="11"/>
      <x:c r="E160" s="11"/>
      <x:c r="F160" s="11"/>
      <x:c r="G160" s="17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6" t="str">
        <x:f>IF(A160="","",IF(C160="研究",1,0))</x:f>
      </x:c>
      <x:c r="R160" s="16" t="str">
        <x:f>IF(OR(A160="",C160&lt;&gt;"研究",D160="",J160&lt;&gt;"已判定"),"",IF(COUNTIFS($D$6:D160,D160,$C$6:C160,"研究",$J$6:J160,"已判定")=1,1,0))</x:f>
      </x:c>
      <x:c r="S160" s="16" t="str">
        <x:f>IF(OR(A160="",C160&lt;&gt;"研究",D160="",J160&lt;&gt;"已判定"),"",IF(COUNTIFS($D$6:D160,D160,$B$6:B160,B160,$C$6:C160,"研究",$J$6:J160,"已判定")=1,1,0))</x:f>
      </x:c>
      <x:c r="T160" s="16" t="str">
        <x:f>IF(A160="","",IF(AND(D160&lt;&gt;"",J160="已判定",K160="是",L160="是",COUNTIF('笔记筛选'!$A$6:$A$35,E160)=1,COUNTIF('批次记录'!$A$6:$A$17,B160)=1,COUNTIF('证据索引'!$A$6:$A$105,F160)=1),IF(AND(INDEX('笔记筛选'!$O$6:$O$35,MATCH(E160,'笔记筛选'!$A$6:$A$35,0))=1,INDEX('证据索引'!$H$6:$H$105,MATCH(F160,'证据索引'!$A$6:$A$105,0))="可定位",INDEX('证据索引'!$F$6:$F$105,MATCH(F160,'证据索引'!$A$6:$A$105,0))="是",INDEX('证据索引'!$B$6:$B$105,MATCH(F160,'证据索引'!$A$6:$A$105,0))=E160),1,0),0))</x:f>
      </x:c>
      <x:c r="U160" s="16" t="str">
        <x:f>IF(R160="","",IF(AND(R160=1,COUNTIF($AA$6:$AA$205,D160)&gt;0),1,0))</x:f>
      </x:c>
      <x:c r="V160" s="16" t="str">
        <x:f>IF(R160="","",IF(AND(R160=1,COUNTIFS('问题评论关联'!$C$6:$C$205,D160,'问题评论关联'!$G$6:$G$205,1)&gt;0),1,0))</x:f>
      </x:c>
      <x:c r="W160" s="16" t="str">
        <x:f>IF(S160="","",IF(AND(S160=1,COUNTIFS('问题评论关联'!$C$6:$C$205,D160,'问题评论关联'!$G$6:$G$205,1)&gt;0),1,0))</x:f>
      </x:c>
      <x:c r="X160" s="16" t="str">
        <x:f>IF(A160="","",IF(AND(C160="研究",OR(D160="",J160&lt;&gt;"已判定")),1,0))</x:f>
      </x:c>
      <x:c r="Y160" s="16" t="str">
        <x:f>IF(A160="","",IF(COUNTIF('批次记录'!$A$6:$A$17,B160)&lt;&gt;1,"批次缺失或重复",IF(COUNTIF('笔记筛选'!$A$6:$A$35,E160)&lt;&gt;1,"笔记缺失或重复",IF(AND(K160="是",COUNTIF('证据索引'!$A$6:$A$105,F160)&lt;&gt;1),"证据缺失或重复",""))))</x:f>
      </x:c>
      <x:c r="AA160" s="16" t="str">
        <x:f>IF(A160="","",IF(AND(C160="研究",T160=1),D160,""))</x:f>
      </x:c>
    </x:row>
    <x:row r="161" ht="36" customHeight="1">
      <x:c r="A161" s="11"/>
      <x:c r="B161" s="11"/>
      <x:c r="C161" s="11"/>
      <x:c r="D161" s="11"/>
      <x:c r="E161" s="11"/>
      <x:c r="F161" s="11"/>
      <x:c r="G161" s="17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6" t="str">
        <x:f>IF(A161="","",IF(C161="研究",1,0))</x:f>
      </x:c>
      <x:c r="R161" s="16" t="str">
        <x:f>IF(OR(A161="",C161&lt;&gt;"研究",D161="",J161&lt;&gt;"已判定"),"",IF(COUNTIFS($D$6:D161,D161,$C$6:C161,"研究",$J$6:J161,"已判定")=1,1,0))</x:f>
      </x:c>
      <x:c r="S161" s="16" t="str">
        <x:f>IF(OR(A161="",C161&lt;&gt;"研究",D161="",J161&lt;&gt;"已判定"),"",IF(COUNTIFS($D$6:D161,D161,$B$6:B161,B161,$C$6:C161,"研究",$J$6:J161,"已判定")=1,1,0))</x:f>
      </x:c>
      <x:c r="T161" s="16" t="str">
        <x:f>IF(A161="","",IF(AND(D161&lt;&gt;"",J161="已判定",K161="是",L161="是",COUNTIF('笔记筛选'!$A$6:$A$35,E161)=1,COUNTIF('批次记录'!$A$6:$A$17,B161)=1,COUNTIF('证据索引'!$A$6:$A$105,F161)=1),IF(AND(INDEX('笔记筛选'!$O$6:$O$35,MATCH(E161,'笔记筛选'!$A$6:$A$35,0))=1,INDEX('证据索引'!$H$6:$H$105,MATCH(F161,'证据索引'!$A$6:$A$105,0))="可定位",INDEX('证据索引'!$F$6:$F$105,MATCH(F161,'证据索引'!$A$6:$A$105,0))="是",INDEX('证据索引'!$B$6:$B$105,MATCH(F161,'证据索引'!$A$6:$A$105,0))=E161),1,0),0))</x:f>
      </x:c>
      <x:c r="U161" s="16" t="str">
        <x:f>IF(R161="","",IF(AND(R161=1,COUNTIF($AA$6:$AA$205,D161)&gt;0),1,0))</x:f>
      </x:c>
      <x:c r="V161" s="16" t="str">
        <x:f>IF(R161="","",IF(AND(R161=1,COUNTIFS('问题评论关联'!$C$6:$C$205,D161,'问题评论关联'!$G$6:$G$205,1)&gt;0),1,0))</x:f>
      </x:c>
      <x:c r="W161" s="16" t="str">
        <x:f>IF(S161="","",IF(AND(S161=1,COUNTIFS('问题评论关联'!$C$6:$C$205,D161,'问题评论关联'!$G$6:$G$205,1)&gt;0),1,0))</x:f>
      </x:c>
      <x:c r="X161" s="16" t="str">
        <x:f>IF(A161="","",IF(AND(C161="研究",OR(D161="",J161&lt;&gt;"已判定")),1,0))</x:f>
      </x:c>
      <x:c r="Y161" s="16" t="str">
        <x:f>IF(A161="","",IF(COUNTIF('批次记录'!$A$6:$A$17,B161)&lt;&gt;1,"批次缺失或重复",IF(COUNTIF('笔记筛选'!$A$6:$A$35,E161)&lt;&gt;1,"笔记缺失或重复",IF(AND(K161="是",COUNTIF('证据索引'!$A$6:$A$105,F161)&lt;&gt;1),"证据缺失或重复",""))))</x:f>
      </x:c>
      <x:c r="AA161" s="16" t="str">
        <x:f>IF(A161="","",IF(AND(C161="研究",T161=1),D161,""))</x:f>
      </x:c>
    </x:row>
    <x:row r="162" ht="36" customHeight="1">
      <x:c r="A162" s="11"/>
      <x:c r="B162" s="11"/>
      <x:c r="C162" s="11"/>
      <x:c r="D162" s="11"/>
      <x:c r="E162" s="11"/>
      <x:c r="F162" s="11"/>
      <x:c r="G162" s="17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6" t="str">
        <x:f>IF(A162="","",IF(C162="研究",1,0))</x:f>
      </x:c>
      <x:c r="R162" s="16" t="str">
        <x:f>IF(OR(A162="",C162&lt;&gt;"研究",D162="",J162&lt;&gt;"已判定"),"",IF(COUNTIFS($D$6:D162,D162,$C$6:C162,"研究",$J$6:J162,"已判定")=1,1,0))</x:f>
      </x:c>
      <x:c r="S162" s="16" t="str">
        <x:f>IF(OR(A162="",C162&lt;&gt;"研究",D162="",J162&lt;&gt;"已判定"),"",IF(COUNTIFS($D$6:D162,D162,$B$6:B162,B162,$C$6:C162,"研究",$J$6:J162,"已判定")=1,1,0))</x:f>
      </x:c>
      <x:c r="T162" s="16" t="str">
        <x:f>IF(A162="","",IF(AND(D162&lt;&gt;"",J162="已判定",K162="是",L162="是",COUNTIF('笔记筛选'!$A$6:$A$35,E162)=1,COUNTIF('批次记录'!$A$6:$A$17,B162)=1,COUNTIF('证据索引'!$A$6:$A$105,F162)=1),IF(AND(INDEX('笔记筛选'!$O$6:$O$35,MATCH(E162,'笔记筛选'!$A$6:$A$35,0))=1,INDEX('证据索引'!$H$6:$H$105,MATCH(F162,'证据索引'!$A$6:$A$105,0))="可定位",INDEX('证据索引'!$F$6:$F$105,MATCH(F162,'证据索引'!$A$6:$A$105,0))="是",INDEX('证据索引'!$B$6:$B$105,MATCH(F162,'证据索引'!$A$6:$A$105,0))=E162),1,0),0))</x:f>
      </x:c>
      <x:c r="U162" s="16" t="str">
        <x:f>IF(R162="","",IF(AND(R162=1,COUNTIF($AA$6:$AA$205,D162)&gt;0),1,0))</x:f>
      </x:c>
      <x:c r="V162" s="16" t="str">
        <x:f>IF(R162="","",IF(AND(R162=1,COUNTIFS('问题评论关联'!$C$6:$C$205,D162,'问题评论关联'!$G$6:$G$205,1)&gt;0),1,0))</x:f>
      </x:c>
      <x:c r="W162" s="16" t="str">
        <x:f>IF(S162="","",IF(AND(S162=1,COUNTIFS('问题评论关联'!$C$6:$C$205,D162,'问题评论关联'!$G$6:$G$205,1)&gt;0),1,0))</x:f>
      </x:c>
      <x:c r="X162" s="16" t="str">
        <x:f>IF(A162="","",IF(AND(C162="研究",OR(D162="",J162&lt;&gt;"已判定")),1,0))</x:f>
      </x:c>
      <x:c r="Y162" s="16" t="str">
        <x:f>IF(A162="","",IF(COUNTIF('批次记录'!$A$6:$A$17,B162)&lt;&gt;1,"批次缺失或重复",IF(COUNTIF('笔记筛选'!$A$6:$A$35,E162)&lt;&gt;1,"笔记缺失或重复",IF(AND(K162="是",COUNTIF('证据索引'!$A$6:$A$105,F162)&lt;&gt;1),"证据缺失或重复",""))))</x:f>
      </x:c>
      <x:c r="AA162" s="16" t="str">
        <x:f>IF(A162="","",IF(AND(C162="研究",T162=1),D162,""))</x:f>
      </x:c>
    </x:row>
    <x:row r="163" ht="36" customHeight="1">
      <x:c r="A163" s="11"/>
      <x:c r="B163" s="11"/>
      <x:c r="C163" s="11"/>
      <x:c r="D163" s="11"/>
      <x:c r="E163" s="11"/>
      <x:c r="F163" s="11"/>
      <x:c r="G163" s="17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6" t="str">
        <x:f>IF(A163="","",IF(C163="研究",1,0))</x:f>
      </x:c>
      <x:c r="R163" s="16" t="str">
        <x:f>IF(OR(A163="",C163&lt;&gt;"研究",D163="",J163&lt;&gt;"已判定"),"",IF(COUNTIFS($D$6:D163,D163,$C$6:C163,"研究",$J$6:J163,"已判定")=1,1,0))</x:f>
      </x:c>
      <x:c r="S163" s="16" t="str">
        <x:f>IF(OR(A163="",C163&lt;&gt;"研究",D163="",J163&lt;&gt;"已判定"),"",IF(COUNTIFS($D$6:D163,D163,$B$6:B163,B163,$C$6:C163,"研究",$J$6:J163,"已判定")=1,1,0))</x:f>
      </x:c>
      <x:c r="T163" s="16" t="str">
        <x:f>IF(A163="","",IF(AND(D163&lt;&gt;"",J163="已判定",K163="是",L163="是",COUNTIF('笔记筛选'!$A$6:$A$35,E163)=1,COUNTIF('批次记录'!$A$6:$A$17,B163)=1,COUNTIF('证据索引'!$A$6:$A$105,F163)=1),IF(AND(INDEX('笔记筛选'!$O$6:$O$35,MATCH(E163,'笔记筛选'!$A$6:$A$35,0))=1,INDEX('证据索引'!$H$6:$H$105,MATCH(F163,'证据索引'!$A$6:$A$105,0))="可定位",INDEX('证据索引'!$F$6:$F$105,MATCH(F163,'证据索引'!$A$6:$A$105,0))="是",INDEX('证据索引'!$B$6:$B$105,MATCH(F163,'证据索引'!$A$6:$A$105,0))=E163),1,0),0))</x:f>
      </x:c>
      <x:c r="U163" s="16" t="str">
        <x:f>IF(R163="","",IF(AND(R163=1,COUNTIF($AA$6:$AA$205,D163)&gt;0),1,0))</x:f>
      </x:c>
      <x:c r="V163" s="16" t="str">
        <x:f>IF(R163="","",IF(AND(R163=1,COUNTIFS('问题评论关联'!$C$6:$C$205,D163,'问题评论关联'!$G$6:$G$205,1)&gt;0),1,0))</x:f>
      </x:c>
      <x:c r="W163" s="16" t="str">
        <x:f>IF(S163="","",IF(AND(S163=1,COUNTIFS('问题评论关联'!$C$6:$C$205,D163,'问题评论关联'!$G$6:$G$205,1)&gt;0),1,0))</x:f>
      </x:c>
      <x:c r="X163" s="16" t="str">
        <x:f>IF(A163="","",IF(AND(C163="研究",OR(D163="",J163&lt;&gt;"已判定")),1,0))</x:f>
      </x:c>
      <x:c r="Y163" s="16" t="str">
        <x:f>IF(A163="","",IF(COUNTIF('批次记录'!$A$6:$A$17,B163)&lt;&gt;1,"批次缺失或重复",IF(COUNTIF('笔记筛选'!$A$6:$A$35,E163)&lt;&gt;1,"笔记缺失或重复",IF(AND(K163="是",COUNTIF('证据索引'!$A$6:$A$105,F163)&lt;&gt;1),"证据缺失或重复",""))))</x:f>
      </x:c>
      <x:c r="AA163" s="16" t="str">
        <x:f>IF(A163="","",IF(AND(C163="研究",T163=1),D163,""))</x:f>
      </x:c>
    </x:row>
    <x:row r="164" ht="36" customHeight="1">
      <x:c r="A164" s="11"/>
      <x:c r="B164" s="11"/>
      <x:c r="C164" s="11"/>
      <x:c r="D164" s="11"/>
      <x:c r="E164" s="11"/>
      <x:c r="F164" s="11"/>
      <x:c r="G164" s="17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6" t="str">
        <x:f>IF(A164="","",IF(C164="研究",1,0))</x:f>
      </x:c>
      <x:c r="R164" s="16" t="str">
        <x:f>IF(OR(A164="",C164&lt;&gt;"研究",D164="",J164&lt;&gt;"已判定"),"",IF(COUNTIFS($D$6:D164,D164,$C$6:C164,"研究",$J$6:J164,"已判定")=1,1,0))</x:f>
      </x:c>
      <x:c r="S164" s="16" t="str">
        <x:f>IF(OR(A164="",C164&lt;&gt;"研究",D164="",J164&lt;&gt;"已判定"),"",IF(COUNTIFS($D$6:D164,D164,$B$6:B164,B164,$C$6:C164,"研究",$J$6:J164,"已判定")=1,1,0))</x:f>
      </x:c>
      <x:c r="T164" s="16" t="str">
        <x:f>IF(A164="","",IF(AND(D164&lt;&gt;"",J164="已判定",K164="是",L164="是",COUNTIF('笔记筛选'!$A$6:$A$35,E164)=1,COUNTIF('批次记录'!$A$6:$A$17,B164)=1,COUNTIF('证据索引'!$A$6:$A$105,F164)=1),IF(AND(INDEX('笔记筛选'!$O$6:$O$35,MATCH(E164,'笔记筛选'!$A$6:$A$35,0))=1,INDEX('证据索引'!$H$6:$H$105,MATCH(F164,'证据索引'!$A$6:$A$105,0))="可定位",INDEX('证据索引'!$F$6:$F$105,MATCH(F164,'证据索引'!$A$6:$A$105,0))="是",INDEX('证据索引'!$B$6:$B$105,MATCH(F164,'证据索引'!$A$6:$A$105,0))=E164),1,0),0))</x:f>
      </x:c>
      <x:c r="U164" s="16" t="str">
        <x:f>IF(R164="","",IF(AND(R164=1,COUNTIF($AA$6:$AA$205,D164)&gt;0),1,0))</x:f>
      </x:c>
      <x:c r="V164" s="16" t="str">
        <x:f>IF(R164="","",IF(AND(R164=1,COUNTIFS('问题评论关联'!$C$6:$C$205,D164,'问题评论关联'!$G$6:$G$205,1)&gt;0),1,0))</x:f>
      </x:c>
      <x:c r="W164" s="16" t="str">
        <x:f>IF(S164="","",IF(AND(S164=1,COUNTIFS('问题评论关联'!$C$6:$C$205,D164,'问题评论关联'!$G$6:$G$205,1)&gt;0),1,0))</x:f>
      </x:c>
      <x:c r="X164" s="16" t="str">
        <x:f>IF(A164="","",IF(AND(C164="研究",OR(D164="",J164&lt;&gt;"已判定")),1,0))</x:f>
      </x:c>
      <x:c r="Y164" s="16" t="str">
        <x:f>IF(A164="","",IF(COUNTIF('批次记录'!$A$6:$A$17,B164)&lt;&gt;1,"批次缺失或重复",IF(COUNTIF('笔记筛选'!$A$6:$A$35,E164)&lt;&gt;1,"笔记缺失或重复",IF(AND(K164="是",COUNTIF('证据索引'!$A$6:$A$105,F164)&lt;&gt;1),"证据缺失或重复",""))))</x:f>
      </x:c>
      <x:c r="AA164" s="16" t="str">
        <x:f>IF(A164="","",IF(AND(C164="研究",T164=1),D164,""))</x:f>
      </x:c>
    </x:row>
    <x:row r="165" ht="36" customHeight="1">
      <x:c r="A165" s="11"/>
      <x:c r="B165" s="11"/>
      <x:c r="C165" s="11"/>
      <x:c r="D165" s="11"/>
      <x:c r="E165" s="11"/>
      <x:c r="F165" s="11"/>
      <x:c r="G165" s="17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6" t="str">
        <x:f>IF(A165="","",IF(C165="研究",1,0))</x:f>
      </x:c>
      <x:c r="R165" s="16" t="str">
        <x:f>IF(OR(A165="",C165&lt;&gt;"研究",D165="",J165&lt;&gt;"已判定"),"",IF(COUNTIFS($D$6:D165,D165,$C$6:C165,"研究",$J$6:J165,"已判定")=1,1,0))</x:f>
      </x:c>
      <x:c r="S165" s="16" t="str">
        <x:f>IF(OR(A165="",C165&lt;&gt;"研究",D165="",J165&lt;&gt;"已判定"),"",IF(COUNTIFS($D$6:D165,D165,$B$6:B165,B165,$C$6:C165,"研究",$J$6:J165,"已判定")=1,1,0))</x:f>
      </x:c>
      <x:c r="T165" s="16" t="str">
        <x:f>IF(A165="","",IF(AND(D165&lt;&gt;"",J165="已判定",K165="是",L165="是",COUNTIF('笔记筛选'!$A$6:$A$35,E165)=1,COUNTIF('批次记录'!$A$6:$A$17,B165)=1,COUNTIF('证据索引'!$A$6:$A$105,F165)=1),IF(AND(INDEX('笔记筛选'!$O$6:$O$35,MATCH(E165,'笔记筛选'!$A$6:$A$35,0))=1,INDEX('证据索引'!$H$6:$H$105,MATCH(F165,'证据索引'!$A$6:$A$105,0))="可定位",INDEX('证据索引'!$F$6:$F$105,MATCH(F165,'证据索引'!$A$6:$A$105,0))="是",INDEX('证据索引'!$B$6:$B$105,MATCH(F165,'证据索引'!$A$6:$A$105,0))=E165),1,0),0))</x:f>
      </x:c>
      <x:c r="U165" s="16" t="str">
        <x:f>IF(R165="","",IF(AND(R165=1,COUNTIF($AA$6:$AA$205,D165)&gt;0),1,0))</x:f>
      </x:c>
      <x:c r="V165" s="16" t="str">
        <x:f>IF(R165="","",IF(AND(R165=1,COUNTIFS('问题评论关联'!$C$6:$C$205,D165,'问题评论关联'!$G$6:$G$205,1)&gt;0),1,0))</x:f>
      </x:c>
      <x:c r="W165" s="16" t="str">
        <x:f>IF(S165="","",IF(AND(S165=1,COUNTIFS('问题评论关联'!$C$6:$C$205,D165,'问题评论关联'!$G$6:$G$205,1)&gt;0),1,0))</x:f>
      </x:c>
      <x:c r="X165" s="16" t="str">
        <x:f>IF(A165="","",IF(AND(C165="研究",OR(D165="",J165&lt;&gt;"已判定")),1,0))</x:f>
      </x:c>
      <x:c r="Y165" s="16" t="str">
        <x:f>IF(A165="","",IF(COUNTIF('批次记录'!$A$6:$A$17,B165)&lt;&gt;1,"批次缺失或重复",IF(COUNTIF('笔记筛选'!$A$6:$A$35,E165)&lt;&gt;1,"笔记缺失或重复",IF(AND(K165="是",COUNTIF('证据索引'!$A$6:$A$105,F165)&lt;&gt;1),"证据缺失或重复",""))))</x:f>
      </x:c>
      <x:c r="AA165" s="16" t="str">
        <x:f>IF(A165="","",IF(AND(C165="研究",T165=1),D165,""))</x:f>
      </x:c>
    </x:row>
    <x:row r="166" ht="36" customHeight="1">
      <x:c r="A166" s="11"/>
      <x:c r="B166" s="11"/>
      <x:c r="C166" s="11"/>
      <x:c r="D166" s="11"/>
      <x:c r="E166" s="11"/>
      <x:c r="F166" s="11"/>
      <x:c r="G166" s="17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6" t="str">
        <x:f>IF(A166="","",IF(C166="研究",1,0))</x:f>
      </x:c>
      <x:c r="R166" s="16" t="str">
        <x:f>IF(OR(A166="",C166&lt;&gt;"研究",D166="",J166&lt;&gt;"已判定"),"",IF(COUNTIFS($D$6:D166,D166,$C$6:C166,"研究",$J$6:J166,"已判定")=1,1,0))</x:f>
      </x:c>
      <x:c r="S166" s="16" t="str">
        <x:f>IF(OR(A166="",C166&lt;&gt;"研究",D166="",J166&lt;&gt;"已判定"),"",IF(COUNTIFS($D$6:D166,D166,$B$6:B166,B166,$C$6:C166,"研究",$J$6:J166,"已判定")=1,1,0))</x:f>
      </x:c>
      <x:c r="T166" s="16" t="str">
        <x:f>IF(A166="","",IF(AND(D166&lt;&gt;"",J166="已判定",K166="是",L166="是",COUNTIF('笔记筛选'!$A$6:$A$35,E166)=1,COUNTIF('批次记录'!$A$6:$A$17,B166)=1,COUNTIF('证据索引'!$A$6:$A$105,F166)=1),IF(AND(INDEX('笔记筛选'!$O$6:$O$35,MATCH(E166,'笔记筛选'!$A$6:$A$35,0))=1,INDEX('证据索引'!$H$6:$H$105,MATCH(F166,'证据索引'!$A$6:$A$105,0))="可定位",INDEX('证据索引'!$F$6:$F$105,MATCH(F166,'证据索引'!$A$6:$A$105,0))="是",INDEX('证据索引'!$B$6:$B$105,MATCH(F166,'证据索引'!$A$6:$A$105,0))=E166),1,0),0))</x:f>
      </x:c>
      <x:c r="U166" s="16" t="str">
        <x:f>IF(R166="","",IF(AND(R166=1,COUNTIF($AA$6:$AA$205,D166)&gt;0),1,0))</x:f>
      </x:c>
      <x:c r="V166" s="16" t="str">
        <x:f>IF(R166="","",IF(AND(R166=1,COUNTIFS('问题评论关联'!$C$6:$C$205,D166,'问题评论关联'!$G$6:$G$205,1)&gt;0),1,0))</x:f>
      </x:c>
      <x:c r="W166" s="16" t="str">
        <x:f>IF(S166="","",IF(AND(S166=1,COUNTIFS('问题评论关联'!$C$6:$C$205,D166,'问题评论关联'!$G$6:$G$205,1)&gt;0),1,0))</x:f>
      </x:c>
      <x:c r="X166" s="16" t="str">
        <x:f>IF(A166="","",IF(AND(C166="研究",OR(D166="",J166&lt;&gt;"已判定")),1,0))</x:f>
      </x:c>
      <x:c r="Y166" s="16" t="str">
        <x:f>IF(A166="","",IF(COUNTIF('批次记录'!$A$6:$A$17,B166)&lt;&gt;1,"批次缺失或重复",IF(COUNTIF('笔记筛选'!$A$6:$A$35,E166)&lt;&gt;1,"笔记缺失或重复",IF(AND(K166="是",COUNTIF('证据索引'!$A$6:$A$105,F166)&lt;&gt;1),"证据缺失或重复",""))))</x:f>
      </x:c>
      <x:c r="AA166" s="16" t="str">
        <x:f>IF(A166="","",IF(AND(C166="研究",T166=1),D166,""))</x:f>
      </x:c>
    </x:row>
    <x:row r="167" ht="36" customHeight="1">
      <x:c r="A167" s="11"/>
      <x:c r="B167" s="11"/>
      <x:c r="C167" s="11"/>
      <x:c r="D167" s="11"/>
      <x:c r="E167" s="11"/>
      <x:c r="F167" s="11"/>
      <x:c r="G167" s="17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6" t="str">
        <x:f>IF(A167="","",IF(C167="研究",1,0))</x:f>
      </x:c>
      <x:c r="R167" s="16" t="str">
        <x:f>IF(OR(A167="",C167&lt;&gt;"研究",D167="",J167&lt;&gt;"已判定"),"",IF(COUNTIFS($D$6:D167,D167,$C$6:C167,"研究",$J$6:J167,"已判定")=1,1,0))</x:f>
      </x:c>
      <x:c r="S167" s="16" t="str">
        <x:f>IF(OR(A167="",C167&lt;&gt;"研究",D167="",J167&lt;&gt;"已判定"),"",IF(COUNTIFS($D$6:D167,D167,$B$6:B167,B167,$C$6:C167,"研究",$J$6:J167,"已判定")=1,1,0))</x:f>
      </x:c>
      <x:c r="T167" s="16" t="str">
        <x:f>IF(A167="","",IF(AND(D167&lt;&gt;"",J167="已判定",K167="是",L167="是",COUNTIF('笔记筛选'!$A$6:$A$35,E167)=1,COUNTIF('批次记录'!$A$6:$A$17,B167)=1,COUNTIF('证据索引'!$A$6:$A$105,F167)=1),IF(AND(INDEX('笔记筛选'!$O$6:$O$35,MATCH(E167,'笔记筛选'!$A$6:$A$35,0))=1,INDEX('证据索引'!$H$6:$H$105,MATCH(F167,'证据索引'!$A$6:$A$105,0))="可定位",INDEX('证据索引'!$F$6:$F$105,MATCH(F167,'证据索引'!$A$6:$A$105,0))="是",INDEX('证据索引'!$B$6:$B$105,MATCH(F167,'证据索引'!$A$6:$A$105,0))=E167),1,0),0))</x:f>
      </x:c>
      <x:c r="U167" s="16" t="str">
        <x:f>IF(R167="","",IF(AND(R167=1,COUNTIF($AA$6:$AA$205,D167)&gt;0),1,0))</x:f>
      </x:c>
      <x:c r="V167" s="16" t="str">
        <x:f>IF(R167="","",IF(AND(R167=1,COUNTIFS('问题评论关联'!$C$6:$C$205,D167,'问题评论关联'!$G$6:$G$205,1)&gt;0),1,0))</x:f>
      </x:c>
      <x:c r="W167" s="16" t="str">
        <x:f>IF(S167="","",IF(AND(S167=1,COUNTIFS('问题评论关联'!$C$6:$C$205,D167,'问题评论关联'!$G$6:$G$205,1)&gt;0),1,0))</x:f>
      </x:c>
      <x:c r="X167" s="16" t="str">
        <x:f>IF(A167="","",IF(AND(C167="研究",OR(D167="",J167&lt;&gt;"已判定")),1,0))</x:f>
      </x:c>
      <x:c r="Y167" s="16" t="str">
        <x:f>IF(A167="","",IF(COUNTIF('批次记录'!$A$6:$A$17,B167)&lt;&gt;1,"批次缺失或重复",IF(COUNTIF('笔记筛选'!$A$6:$A$35,E167)&lt;&gt;1,"笔记缺失或重复",IF(AND(K167="是",COUNTIF('证据索引'!$A$6:$A$105,F167)&lt;&gt;1),"证据缺失或重复",""))))</x:f>
      </x:c>
      <x:c r="AA167" s="16" t="str">
        <x:f>IF(A167="","",IF(AND(C167="研究",T167=1),D167,""))</x:f>
      </x:c>
    </x:row>
    <x:row r="168" ht="36" customHeight="1">
      <x:c r="A168" s="11"/>
      <x:c r="B168" s="11"/>
      <x:c r="C168" s="11"/>
      <x:c r="D168" s="11"/>
      <x:c r="E168" s="11"/>
      <x:c r="F168" s="11"/>
      <x:c r="G168" s="17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6" t="str">
        <x:f>IF(A168="","",IF(C168="研究",1,0))</x:f>
      </x:c>
      <x:c r="R168" s="16" t="str">
        <x:f>IF(OR(A168="",C168&lt;&gt;"研究",D168="",J168&lt;&gt;"已判定"),"",IF(COUNTIFS($D$6:D168,D168,$C$6:C168,"研究",$J$6:J168,"已判定")=1,1,0))</x:f>
      </x:c>
      <x:c r="S168" s="16" t="str">
        <x:f>IF(OR(A168="",C168&lt;&gt;"研究",D168="",J168&lt;&gt;"已判定"),"",IF(COUNTIFS($D$6:D168,D168,$B$6:B168,B168,$C$6:C168,"研究",$J$6:J168,"已判定")=1,1,0))</x:f>
      </x:c>
      <x:c r="T168" s="16" t="str">
        <x:f>IF(A168="","",IF(AND(D168&lt;&gt;"",J168="已判定",K168="是",L168="是",COUNTIF('笔记筛选'!$A$6:$A$35,E168)=1,COUNTIF('批次记录'!$A$6:$A$17,B168)=1,COUNTIF('证据索引'!$A$6:$A$105,F168)=1),IF(AND(INDEX('笔记筛选'!$O$6:$O$35,MATCH(E168,'笔记筛选'!$A$6:$A$35,0))=1,INDEX('证据索引'!$H$6:$H$105,MATCH(F168,'证据索引'!$A$6:$A$105,0))="可定位",INDEX('证据索引'!$F$6:$F$105,MATCH(F168,'证据索引'!$A$6:$A$105,0))="是",INDEX('证据索引'!$B$6:$B$105,MATCH(F168,'证据索引'!$A$6:$A$105,0))=E168),1,0),0))</x:f>
      </x:c>
      <x:c r="U168" s="16" t="str">
        <x:f>IF(R168="","",IF(AND(R168=1,COUNTIF($AA$6:$AA$205,D168)&gt;0),1,0))</x:f>
      </x:c>
      <x:c r="V168" s="16" t="str">
        <x:f>IF(R168="","",IF(AND(R168=1,COUNTIFS('问题评论关联'!$C$6:$C$205,D168,'问题评论关联'!$G$6:$G$205,1)&gt;0),1,0))</x:f>
      </x:c>
      <x:c r="W168" s="16" t="str">
        <x:f>IF(S168="","",IF(AND(S168=1,COUNTIFS('问题评论关联'!$C$6:$C$205,D168,'问题评论关联'!$G$6:$G$205,1)&gt;0),1,0))</x:f>
      </x:c>
      <x:c r="X168" s="16" t="str">
        <x:f>IF(A168="","",IF(AND(C168="研究",OR(D168="",J168&lt;&gt;"已判定")),1,0))</x:f>
      </x:c>
      <x:c r="Y168" s="16" t="str">
        <x:f>IF(A168="","",IF(COUNTIF('批次记录'!$A$6:$A$17,B168)&lt;&gt;1,"批次缺失或重复",IF(COUNTIF('笔记筛选'!$A$6:$A$35,E168)&lt;&gt;1,"笔记缺失或重复",IF(AND(K168="是",COUNTIF('证据索引'!$A$6:$A$105,F168)&lt;&gt;1),"证据缺失或重复",""))))</x:f>
      </x:c>
      <x:c r="AA168" s="16" t="str">
        <x:f>IF(A168="","",IF(AND(C168="研究",T168=1),D168,""))</x:f>
      </x:c>
    </x:row>
    <x:row r="169" ht="36" customHeight="1">
      <x:c r="A169" s="11"/>
      <x:c r="B169" s="11"/>
      <x:c r="C169" s="11"/>
      <x:c r="D169" s="11"/>
      <x:c r="E169" s="11"/>
      <x:c r="F169" s="11"/>
      <x:c r="G169" s="17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6" t="str">
        <x:f>IF(A169="","",IF(C169="研究",1,0))</x:f>
      </x:c>
      <x:c r="R169" s="16" t="str">
        <x:f>IF(OR(A169="",C169&lt;&gt;"研究",D169="",J169&lt;&gt;"已判定"),"",IF(COUNTIFS($D$6:D169,D169,$C$6:C169,"研究",$J$6:J169,"已判定")=1,1,0))</x:f>
      </x:c>
      <x:c r="S169" s="16" t="str">
        <x:f>IF(OR(A169="",C169&lt;&gt;"研究",D169="",J169&lt;&gt;"已判定"),"",IF(COUNTIFS($D$6:D169,D169,$B$6:B169,B169,$C$6:C169,"研究",$J$6:J169,"已判定")=1,1,0))</x:f>
      </x:c>
      <x:c r="T169" s="16" t="str">
        <x:f>IF(A169="","",IF(AND(D169&lt;&gt;"",J169="已判定",K169="是",L169="是",COUNTIF('笔记筛选'!$A$6:$A$35,E169)=1,COUNTIF('批次记录'!$A$6:$A$17,B169)=1,COUNTIF('证据索引'!$A$6:$A$105,F169)=1),IF(AND(INDEX('笔记筛选'!$O$6:$O$35,MATCH(E169,'笔记筛选'!$A$6:$A$35,0))=1,INDEX('证据索引'!$H$6:$H$105,MATCH(F169,'证据索引'!$A$6:$A$105,0))="可定位",INDEX('证据索引'!$F$6:$F$105,MATCH(F169,'证据索引'!$A$6:$A$105,0))="是",INDEX('证据索引'!$B$6:$B$105,MATCH(F169,'证据索引'!$A$6:$A$105,0))=E169),1,0),0))</x:f>
      </x:c>
      <x:c r="U169" s="16" t="str">
        <x:f>IF(R169="","",IF(AND(R169=1,COUNTIF($AA$6:$AA$205,D169)&gt;0),1,0))</x:f>
      </x:c>
      <x:c r="V169" s="16" t="str">
        <x:f>IF(R169="","",IF(AND(R169=1,COUNTIFS('问题评论关联'!$C$6:$C$205,D169,'问题评论关联'!$G$6:$G$205,1)&gt;0),1,0))</x:f>
      </x:c>
      <x:c r="W169" s="16" t="str">
        <x:f>IF(S169="","",IF(AND(S169=1,COUNTIFS('问题评论关联'!$C$6:$C$205,D169,'问题评论关联'!$G$6:$G$205,1)&gt;0),1,0))</x:f>
      </x:c>
      <x:c r="X169" s="16" t="str">
        <x:f>IF(A169="","",IF(AND(C169="研究",OR(D169="",J169&lt;&gt;"已判定")),1,0))</x:f>
      </x:c>
      <x:c r="Y169" s="16" t="str">
        <x:f>IF(A169="","",IF(COUNTIF('批次记录'!$A$6:$A$17,B169)&lt;&gt;1,"批次缺失或重复",IF(COUNTIF('笔记筛选'!$A$6:$A$35,E169)&lt;&gt;1,"笔记缺失或重复",IF(AND(K169="是",COUNTIF('证据索引'!$A$6:$A$105,F169)&lt;&gt;1),"证据缺失或重复",""))))</x:f>
      </x:c>
      <x:c r="AA169" s="16" t="str">
        <x:f>IF(A169="","",IF(AND(C169="研究",T169=1),D169,""))</x:f>
      </x:c>
    </x:row>
    <x:row r="170" ht="36" customHeight="1">
      <x:c r="A170" s="11"/>
      <x:c r="B170" s="11"/>
      <x:c r="C170" s="11"/>
      <x:c r="D170" s="11"/>
      <x:c r="E170" s="11"/>
      <x:c r="F170" s="11"/>
      <x:c r="G170" s="17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6" t="str">
        <x:f>IF(A170="","",IF(C170="研究",1,0))</x:f>
      </x:c>
      <x:c r="R170" s="16" t="str">
        <x:f>IF(OR(A170="",C170&lt;&gt;"研究",D170="",J170&lt;&gt;"已判定"),"",IF(COUNTIFS($D$6:D170,D170,$C$6:C170,"研究",$J$6:J170,"已判定")=1,1,0))</x:f>
      </x:c>
      <x:c r="S170" s="16" t="str">
        <x:f>IF(OR(A170="",C170&lt;&gt;"研究",D170="",J170&lt;&gt;"已判定"),"",IF(COUNTIFS($D$6:D170,D170,$B$6:B170,B170,$C$6:C170,"研究",$J$6:J170,"已判定")=1,1,0))</x:f>
      </x:c>
      <x:c r="T170" s="16" t="str">
        <x:f>IF(A170="","",IF(AND(D170&lt;&gt;"",J170="已判定",K170="是",L170="是",COUNTIF('笔记筛选'!$A$6:$A$35,E170)=1,COUNTIF('批次记录'!$A$6:$A$17,B170)=1,COUNTIF('证据索引'!$A$6:$A$105,F170)=1),IF(AND(INDEX('笔记筛选'!$O$6:$O$35,MATCH(E170,'笔记筛选'!$A$6:$A$35,0))=1,INDEX('证据索引'!$H$6:$H$105,MATCH(F170,'证据索引'!$A$6:$A$105,0))="可定位",INDEX('证据索引'!$F$6:$F$105,MATCH(F170,'证据索引'!$A$6:$A$105,0))="是",INDEX('证据索引'!$B$6:$B$105,MATCH(F170,'证据索引'!$A$6:$A$105,0))=E170),1,0),0))</x:f>
      </x:c>
      <x:c r="U170" s="16" t="str">
        <x:f>IF(R170="","",IF(AND(R170=1,COUNTIF($AA$6:$AA$205,D170)&gt;0),1,0))</x:f>
      </x:c>
      <x:c r="V170" s="16" t="str">
        <x:f>IF(R170="","",IF(AND(R170=1,COUNTIFS('问题评论关联'!$C$6:$C$205,D170,'问题评论关联'!$G$6:$G$205,1)&gt;0),1,0))</x:f>
      </x:c>
      <x:c r="W170" s="16" t="str">
        <x:f>IF(S170="","",IF(AND(S170=1,COUNTIFS('问题评论关联'!$C$6:$C$205,D170,'问题评论关联'!$G$6:$G$205,1)&gt;0),1,0))</x:f>
      </x:c>
      <x:c r="X170" s="16" t="str">
        <x:f>IF(A170="","",IF(AND(C170="研究",OR(D170="",J170&lt;&gt;"已判定")),1,0))</x:f>
      </x:c>
      <x:c r="Y170" s="16" t="str">
        <x:f>IF(A170="","",IF(COUNTIF('批次记录'!$A$6:$A$17,B170)&lt;&gt;1,"批次缺失或重复",IF(COUNTIF('笔记筛选'!$A$6:$A$35,E170)&lt;&gt;1,"笔记缺失或重复",IF(AND(K170="是",COUNTIF('证据索引'!$A$6:$A$105,F170)&lt;&gt;1),"证据缺失或重复",""))))</x:f>
      </x:c>
      <x:c r="AA170" s="16" t="str">
        <x:f>IF(A170="","",IF(AND(C170="研究",T170=1),D170,""))</x:f>
      </x:c>
    </x:row>
    <x:row r="171" ht="36" customHeight="1">
      <x:c r="A171" s="11"/>
      <x:c r="B171" s="11"/>
      <x:c r="C171" s="11"/>
      <x:c r="D171" s="11"/>
      <x:c r="E171" s="11"/>
      <x:c r="F171" s="11"/>
      <x:c r="G171" s="17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6" t="str">
        <x:f>IF(A171="","",IF(C171="研究",1,0))</x:f>
      </x:c>
      <x:c r="R171" s="16" t="str">
        <x:f>IF(OR(A171="",C171&lt;&gt;"研究",D171="",J171&lt;&gt;"已判定"),"",IF(COUNTIFS($D$6:D171,D171,$C$6:C171,"研究",$J$6:J171,"已判定")=1,1,0))</x:f>
      </x:c>
      <x:c r="S171" s="16" t="str">
        <x:f>IF(OR(A171="",C171&lt;&gt;"研究",D171="",J171&lt;&gt;"已判定"),"",IF(COUNTIFS($D$6:D171,D171,$B$6:B171,B171,$C$6:C171,"研究",$J$6:J171,"已判定")=1,1,0))</x:f>
      </x:c>
      <x:c r="T171" s="16" t="str">
        <x:f>IF(A171="","",IF(AND(D171&lt;&gt;"",J171="已判定",K171="是",L171="是",COUNTIF('笔记筛选'!$A$6:$A$35,E171)=1,COUNTIF('批次记录'!$A$6:$A$17,B171)=1,COUNTIF('证据索引'!$A$6:$A$105,F171)=1),IF(AND(INDEX('笔记筛选'!$O$6:$O$35,MATCH(E171,'笔记筛选'!$A$6:$A$35,0))=1,INDEX('证据索引'!$H$6:$H$105,MATCH(F171,'证据索引'!$A$6:$A$105,0))="可定位",INDEX('证据索引'!$F$6:$F$105,MATCH(F171,'证据索引'!$A$6:$A$105,0))="是",INDEX('证据索引'!$B$6:$B$105,MATCH(F171,'证据索引'!$A$6:$A$105,0))=E171),1,0),0))</x:f>
      </x:c>
      <x:c r="U171" s="16" t="str">
        <x:f>IF(R171="","",IF(AND(R171=1,COUNTIF($AA$6:$AA$205,D171)&gt;0),1,0))</x:f>
      </x:c>
      <x:c r="V171" s="16" t="str">
        <x:f>IF(R171="","",IF(AND(R171=1,COUNTIFS('问题评论关联'!$C$6:$C$205,D171,'问题评论关联'!$G$6:$G$205,1)&gt;0),1,0))</x:f>
      </x:c>
      <x:c r="W171" s="16" t="str">
        <x:f>IF(S171="","",IF(AND(S171=1,COUNTIFS('问题评论关联'!$C$6:$C$205,D171,'问题评论关联'!$G$6:$G$205,1)&gt;0),1,0))</x:f>
      </x:c>
      <x:c r="X171" s="16" t="str">
        <x:f>IF(A171="","",IF(AND(C171="研究",OR(D171="",J171&lt;&gt;"已判定")),1,0))</x:f>
      </x:c>
      <x:c r="Y171" s="16" t="str">
        <x:f>IF(A171="","",IF(COUNTIF('批次记录'!$A$6:$A$17,B171)&lt;&gt;1,"批次缺失或重复",IF(COUNTIF('笔记筛选'!$A$6:$A$35,E171)&lt;&gt;1,"笔记缺失或重复",IF(AND(K171="是",COUNTIF('证据索引'!$A$6:$A$105,F171)&lt;&gt;1),"证据缺失或重复",""))))</x:f>
      </x:c>
      <x:c r="AA171" s="16" t="str">
        <x:f>IF(A171="","",IF(AND(C171="研究",T171=1),D171,""))</x:f>
      </x:c>
    </x:row>
    <x:row r="172" ht="36" customHeight="1">
      <x:c r="A172" s="11"/>
      <x:c r="B172" s="11"/>
      <x:c r="C172" s="11"/>
      <x:c r="D172" s="11"/>
      <x:c r="E172" s="11"/>
      <x:c r="F172" s="11"/>
      <x:c r="G172" s="17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6" t="str">
        <x:f>IF(A172="","",IF(C172="研究",1,0))</x:f>
      </x:c>
      <x:c r="R172" s="16" t="str">
        <x:f>IF(OR(A172="",C172&lt;&gt;"研究",D172="",J172&lt;&gt;"已判定"),"",IF(COUNTIFS($D$6:D172,D172,$C$6:C172,"研究",$J$6:J172,"已判定")=1,1,0))</x:f>
      </x:c>
      <x:c r="S172" s="16" t="str">
        <x:f>IF(OR(A172="",C172&lt;&gt;"研究",D172="",J172&lt;&gt;"已判定"),"",IF(COUNTIFS($D$6:D172,D172,$B$6:B172,B172,$C$6:C172,"研究",$J$6:J172,"已判定")=1,1,0))</x:f>
      </x:c>
      <x:c r="T172" s="16" t="str">
        <x:f>IF(A172="","",IF(AND(D172&lt;&gt;"",J172="已判定",K172="是",L172="是",COUNTIF('笔记筛选'!$A$6:$A$35,E172)=1,COUNTIF('批次记录'!$A$6:$A$17,B172)=1,COUNTIF('证据索引'!$A$6:$A$105,F172)=1),IF(AND(INDEX('笔记筛选'!$O$6:$O$35,MATCH(E172,'笔记筛选'!$A$6:$A$35,0))=1,INDEX('证据索引'!$H$6:$H$105,MATCH(F172,'证据索引'!$A$6:$A$105,0))="可定位",INDEX('证据索引'!$F$6:$F$105,MATCH(F172,'证据索引'!$A$6:$A$105,0))="是",INDEX('证据索引'!$B$6:$B$105,MATCH(F172,'证据索引'!$A$6:$A$105,0))=E172),1,0),0))</x:f>
      </x:c>
      <x:c r="U172" s="16" t="str">
        <x:f>IF(R172="","",IF(AND(R172=1,COUNTIF($AA$6:$AA$205,D172)&gt;0),1,0))</x:f>
      </x:c>
      <x:c r="V172" s="16" t="str">
        <x:f>IF(R172="","",IF(AND(R172=1,COUNTIFS('问题评论关联'!$C$6:$C$205,D172,'问题评论关联'!$G$6:$G$205,1)&gt;0),1,0))</x:f>
      </x:c>
      <x:c r="W172" s="16" t="str">
        <x:f>IF(S172="","",IF(AND(S172=1,COUNTIFS('问题评论关联'!$C$6:$C$205,D172,'问题评论关联'!$G$6:$G$205,1)&gt;0),1,0))</x:f>
      </x:c>
      <x:c r="X172" s="16" t="str">
        <x:f>IF(A172="","",IF(AND(C172="研究",OR(D172="",J172&lt;&gt;"已判定")),1,0))</x:f>
      </x:c>
      <x:c r="Y172" s="16" t="str">
        <x:f>IF(A172="","",IF(COUNTIF('批次记录'!$A$6:$A$17,B172)&lt;&gt;1,"批次缺失或重复",IF(COUNTIF('笔记筛选'!$A$6:$A$35,E172)&lt;&gt;1,"笔记缺失或重复",IF(AND(K172="是",COUNTIF('证据索引'!$A$6:$A$105,F172)&lt;&gt;1),"证据缺失或重复",""))))</x:f>
      </x:c>
      <x:c r="AA172" s="16" t="str">
        <x:f>IF(A172="","",IF(AND(C172="研究",T172=1),D172,""))</x:f>
      </x:c>
    </x:row>
    <x:row r="173" ht="36" customHeight="1">
      <x:c r="A173" s="11"/>
      <x:c r="B173" s="11"/>
      <x:c r="C173" s="11"/>
      <x:c r="D173" s="11"/>
      <x:c r="E173" s="11"/>
      <x:c r="F173" s="11"/>
      <x:c r="G173" s="17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6" t="str">
        <x:f>IF(A173="","",IF(C173="研究",1,0))</x:f>
      </x:c>
      <x:c r="R173" s="16" t="str">
        <x:f>IF(OR(A173="",C173&lt;&gt;"研究",D173="",J173&lt;&gt;"已判定"),"",IF(COUNTIFS($D$6:D173,D173,$C$6:C173,"研究",$J$6:J173,"已判定")=1,1,0))</x:f>
      </x:c>
      <x:c r="S173" s="16" t="str">
        <x:f>IF(OR(A173="",C173&lt;&gt;"研究",D173="",J173&lt;&gt;"已判定"),"",IF(COUNTIFS($D$6:D173,D173,$B$6:B173,B173,$C$6:C173,"研究",$J$6:J173,"已判定")=1,1,0))</x:f>
      </x:c>
      <x:c r="T173" s="16" t="str">
        <x:f>IF(A173="","",IF(AND(D173&lt;&gt;"",J173="已判定",K173="是",L173="是",COUNTIF('笔记筛选'!$A$6:$A$35,E173)=1,COUNTIF('批次记录'!$A$6:$A$17,B173)=1,COUNTIF('证据索引'!$A$6:$A$105,F173)=1),IF(AND(INDEX('笔记筛选'!$O$6:$O$35,MATCH(E173,'笔记筛选'!$A$6:$A$35,0))=1,INDEX('证据索引'!$H$6:$H$105,MATCH(F173,'证据索引'!$A$6:$A$105,0))="可定位",INDEX('证据索引'!$F$6:$F$105,MATCH(F173,'证据索引'!$A$6:$A$105,0))="是",INDEX('证据索引'!$B$6:$B$105,MATCH(F173,'证据索引'!$A$6:$A$105,0))=E173),1,0),0))</x:f>
      </x:c>
      <x:c r="U173" s="16" t="str">
        <x:f>IF(R173="","",IF(AND(R173=1,COUNTIF($AA$6:$AA$205,D173)&gt;0),1,0))</x:f>
      </x:c>
      <x:c r="V173" s="16" t="str">
        <x:f>IF(R173="","",IF(AND(R173=1,COUNTIFS('问题评论关联'!$C$6:$C$205,D173,'问题评论关联'!$G$6:$G$205,1)&gt;0),1,0))</x:f>
      </x:c>
      <x:c r="W173" s="16" t="str">
        <x:f>IF(S173="","",IF(AND(S173=1,COUNTIFS('问题评论关联'!$C$6:$C$205,D173,'问题评论关联'!$G$6:$G$205,1)&gt;0),1,0))</x:f>
      </x:c>
      <x:c r="X173" s="16" t="str">
        <x:f>IF(A173="","",IF(AND(C173="研究",OR(D173="",J173&lt;&gt;"已判定")),1,0))</x:f>
      </x:c>
      <x:c r="Y173" s="16" t="str">
        <x:f>IF(A173="","",IF(COUNTIF('批次记录'!$A$6:$A$17,B173)&lt;&gt;1,"批次缺失或重复",IF(COUNTIF('笔记筛选'!$A$6:$A$35,E173)&lt;&gt;1,"笔记缺失或重复",IF(AND(K173="是",COUNTIF('证据索引'!$A$6:$A$105,F173)&lt;&gt;1),"证据缺失或重复",""))))</x:f>
      </x:c>
      <x:c r="AA173" s="16" t="str">
        <x:f>IF(A173="","",IF(AND(C173="研究",T173=1),D173,""))</x:f>
      </x:c>
    </x:row>
    <x:row r="174" ht="36" customHeight="1">
      <x:c r="A174" s="11"/>
      <x:c r="B174" s="11"/>
      <x:c r="C174" s="11"/>
      <x:c r="D174" s="11"/>
      <x:c r="E174" s="11"/>
      <x:c r="F174" s="11"/>
      <x:c r="G174" s="17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6" t="str">
        <x:f>IF(A174="","",IF(C174="研究",1,0))</x:f>
      </x:c>
      <x:c r="R174" s="16" t="str">
        <x:f>IF(OR(A174="",C174&lt;&gt;"研究",D174="",J174&lt;&gt;"已判定"),"",IF(COUNTIFS($D$6:D174,D174,$C$6:C174,"研究",$J$6:J174,"已判定")=1,1,0))</x:f>
      </x:c>
      <x:c r="S174" s="16" t="str">
        <x:f>IF(OR(A174="",C174&lt;&gt;"研究",D174="",J174&lt;&gt;"已判定"),"",IF(COUNTIFS($D$6:D174,D174,$B$6:B174,B174,$C$6:C174,"研究",$J$6:J174,"已判定")=1,1,0))</x:f>
      </x:c>
      <x:c r="T174" s="16" t="str">
        <x:f>IF(A174="","",IF(AND(D174&lt;&gt;"",J174="已判定",K174="是",L174="是",COUNTIF('笔记筛选'!$A$6:$A$35,E174)=1,COUNTIF('批次记录'!$A$6:$A$17,B174)=1,COUNTIF('证据索引'!$A$6:$A$105,F174)=1),IF(AND(INDEX('笔记筛选'!$O$6:$O$35,MATCH(E174,'笔记筛选'!$A$6:$A$35,0))=1,INDEX('证据索引'!$H$6:$H$105,MATCH(F174,'证据索引'!$A$6:$A$105,0))="可定位",INDEX('证据索引'!$F$6:$F$105,MATCH(F174,'证据索引'!$A$6:$A$105,0))="是",INDEX('证据索引'!$B$6:$B$105,MATCH(F174,'证据索引'!$A$6:$A$105,0))=E174),1,0),0))</x:f>
      </x:c>
      <x:c r="U174" s="16" t="str">
        <x:f>IF(R174="","",IF(AND(R174=1,COUNTIF($AA$6:$AA$205,D174)&gt;0),1,0))</x:f>
      </x:c>
      <x:c r="V174" s="16" t="str">
        <x:f>IF(R174="","",IF(AND(R174=1,COUNTIFS('问题评论关联'!$C$6:$C$205,D174,'问题评论关联'!$G$6:$G$205,1)&gt;0),1,0))</x:f>
      </x:c>
      <x:c r="W174" s="16" t="str">
        <x:f>IF(S174="","",IF(AND(S174=1,COUNTIFS('问题评论关联'!$C$6:$C$205,D174,'问题评论关联'!$G$6:$G$205,1)&gt;0),1,0))</x:f>
      </x:c>
      <x:c r="X174" s="16" t="str">
        <x:f>IF(A174="","",IF(AND(C174="研究",OR(D174="",J174&lt;&gt;"已判定")),1,0))</x:f>
      </x:c>
      <x:c r="Y174" s="16" t="str">
        <x:f>IF(A174="","",IF(COUNTIF('批次记录'!$A$6:$A$17,B174)&lt;&gt;1,"批次缺失或重复",IF(COUNTIF('笔记筛选'!$A$6:$A$35,E174)&lt;&gt;1,"笔记缺失或重复",IF(AND(K174="是",COUNTIF('证据索引'!$A$6:$A$105,F174)&lt;&gt;1),"证据缺失或重复",""))))</x:f>
      </x:c>
      <x:c r="AA174" s="16" t="str">
        <x:f>IF(A174="","",IF(AND(C174="研究",T174=1),D174,""))</x:f>
      </x:c>
    </x:row>
    <x:row r="175" ht="36" customHeight="1">
      <x:c r="A175" s="11"/>
      <x:c r="B175" s="11"/>
      <x:c r="C175" s="11"/>
      <x:c r="D175" s="11"/>
      <x:c r="E175" s="11"/>
      <x:c r="F175" s="11"/>
      <x:c r="G175" s="17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6" t="str">
        <x:f>IF(A175="","",IF(C175="研究",1,0))</x:f>
      </x:c>
      <x:c r="R175" s="16" t="str">
        <x:f>IF(OR(A175="",C175&lt;&gt;"研究",D175="",J175&lt;&gt;"已判定"),"",IF(COUNTIFS($D$6:D175,D175,$C$6:C175,"研究",$J$6:J175,"已判定")=1,1,0))</x:f>
      </x:c>
      <x:c r="S175" s="16" t="str">
        <x:f>IF(OR(A175="",C175&lt;&gt;"研究",D175="",J175&lt;&gt;"已判定"),"",IF(COUNTIFS($D$6:D175,D175,$B$6:B175,B175,$C$6:C175,"研究",$J$6:J175,"已判定")=1,1,0))</x:f>
      </x:c>
      <x:c r="T175" s="16" t="str">
        <x:f>IF(A175="","",IF(AND(D175&lt;&gt;"",J175="已判定",K175="是",L175="是",COUNTIF('笔记筛选'!$A$6:$A$35,E175)=1,COUNTIF('批次记录'!$A$6:$A$17,B175)=1,COUNTIF('证据索引'!$A$6:$A$105,F175)=1),IF(AND(INDEX('笔记筛选'!$O$6:$O$35,MATCH(E175,'笔记筛选'!$A$6:$A$35,0))=1,INDEX('证据索引'!$H$6:$H$105,MATCH(F175,'证据索引'!$A$6:$A$105,0))="可定位",INDEX('证据索引'!$F$6:$F$105,MATCH(F175,'证据索引'!$A$6:$A$105,0))="是",INDEX('证据索引'!$B$6:$B$105,MATCH(F175,'证据索引'!$A$6:$A$105,0))=E175),1,0),0))</x:f>
      </x:c>
      <x:c r="U175" s="16" t="str">
        <x:f>IF(R175="","",IF(AND(R175=1,COUNTIF($AA$6:$AA$205,D175)&gt;0),1,0))</x:f>
      </x:c>
      <x:c r="V175" s="16" t="str">
        <x:f>IF(R175="","",IF(AND(R175=1,COUNTIFS('问题评论关联'!$C$6:$C$205,D175,'问题评论关联'!$G$6:$G$205,1)&gt;0),1,0))</x:f>
      </x:c>
      <x:c r="W175" s="16" t="str">
        <x:f>IF(S175="","",IF(AND(S175=1,COUNTIFS('问题评论关联'!$C$6:$C$205,D175,'问题评论关联'!$G$6:$G$205,1)&gt;0),1,0))</x:f>
      </x:c>
      <x:c r="X175" s="16" t="str">
        <x:f>IF(A175="","",IF(AND(C175="研究",OR(D175="",J175&lt;&gt;"已判定")),1,0))</x:f>
      </x:c>
      <x:c r="Y175" s="16" t="str">
        <x:f>IF(A175="","",IF(COUNTIF('批次记录'!$A$6:$A$17,B175)&lt;&gt;1,"批次缺失或重复",IF(COUNTIF('笔记筛选'!$A$6:$A$35,E175)&lt;&gt;1,"笔记缺失或重复",IF(AND(K175="是",COUNTIF('证据索引'!$A$6:$A$105,F175)&lt;&gt;1),"证据缺失或重复",""))))</x:f>
      </x:c>
      <x:c r="AA175" s="16" t="str">
        <x:f>IF(A175="","",IF(AND(C175="研究",T175=1),D175,""))</x:f>
      </x:c>
    </x:row>
    <x:row r="176" ht="36" customHeight="1">
      <x:c r="A176" s="11"/>
      <x:c r="B176" s="11"/>
      <x:c r="C176" s="11"/>
      <x:c r="D176" s="11"/>
      <x:c r="E176" s="11"/>
      <x:c r="F176" s="11"/>
      <x:c r="G176" s="17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6" t="str">
        <x:f>IF(A176="","",IF(C176="研究",1,0))</x:f>
      </x:c>
      <x:c r="R176" s="16" t="str">
        <x:f>IF(OR(A176="",C176&lt;&gt;"研究",D176="",J176&lt;&gt;"已判定"),"",IF(COUNTIFS($D$6:D176,D176,$C$6:C176,"研究",$J$6:J176,"已判定")=1,1,0))</x:f>
      </x:c>
      <x:c r="S176" s="16" t="str">
        <x:f>IF(OR(A176="",C176&lt;&gt;"研究",D176="",J176&lt;&gt;"已判定"),"",IF(COUNTIFS($D$6:D176,D176,$B$6:B176,B176,$C$6:C176,"研究",$J$6:J176,"已判定")=1,1,0))</x:f>
      </x:c>
      <x:c r="T176" s="16" t="str">
        <x:f>IF(A176="","",IF(AND(D176&lt;&gt;"",J176="已判定",K176="是",L176="是",COUNTIF('笔记筛选'!$A$6:$A$35,E176)=1,COUNTIF('批次记录'!$A$6:$A$17,B176)=1,COUNTIF('证据索引'!$A$6:$A$105,F176)=1),IF(AND(INDEX('笔记筛选'!$O$6:$O$35,MATCH(E176,'笔记筛选'!$A$6:$A$35,0))=1,INDEX('证据索引'!$H$6:$H$105,MATCH(F176,'证据索引'!$A$6:$A$105,0))="可定位",INDEX('证据索引'!$F$6:$F$105,MATCH(F176,'证据索引'!$A$6:$A$105,0))="是",INDEX('证据索引'!$B$6:$B$105,MATCH(F176,'证据索引'!$A$6:$A$105,0))=E176),1,0),0))</x:f>
      </x:c>
      <x:c r="U176" s="16" t="str">
        <x:f>IF(R176="","",IF(AND(R176=1,COUNTIF($AA$6:$AA$205,D176)&gt;0),1,0))</x:f>
      </x:c>
      <x:c r="V176" s="16" t="str">
        <x:f>IF(R176="","",IF(AND(R176=1,COUNTIFS('问题评论关联'!$C$6:$C$205,D176,'问题评论关联'!$G$6:$G$205,1)&gt;0),1,0))</x:f>
      </x:c>
      <x:c r="W176" s="16" t="str">
        <x:f>IF(S176="","",IF(AND(S176=1,COUNTIFS('问题评论关联'!$C$6:$C$205,D176,'问题评论关联'!$G$6:$G$205,1)&gt;0),1,0))</x:f>
      </x:c>
      <x:c r="X176" s="16" t="str">
        <x:f>IF(A176="","",IF(AND(C176="研究",OR(D176="",J176&lt;&gt;"已判定")),1,0))</x:f>
      </x:c>
      <x:c r="Y176" s="16" t="str">
        <x:f>IF(A176="","",IF(COUNTIF('批次记录'!$A$6:$A$17,B176)&lt;&gt;1,"批次缺失或重复",IF(COUNTIF('笔记筛选'!$A$6:$A$35,E176)&lt;&gt;1,"笔记缺失或重复",IF(AND(K176="是",COUNTIF('证据索引'!$A$6:$A$105,F176)&lt;&gt;1),"证据缺失或重复",""))))</x:f>
      </x:c>
      <x:c r="AA176" s="16" t="str">
        <x:f>IF(A176="","",IF(AND(C176="研究",T176=1),D176,""))</x:f>
      </x:c>
    </x:row>
    <x:row r="177" ht="36" customHeight="1">
      <x:c r="A177" s="11"/>
      <x:c r="B177" s="11"/>
      <x:c r="C177" s="11"/>
      <x:c r="D177" s="11"/>
      <x:c r="E177" s="11"/>
      <x:c r="F177" s="11"/>
      <x:c r="G177" s="17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6" t="str">
        <x:f>IF(A177="","",IF(C177="研究",1,0))</x:f>
      </x:c>
      <x:c r="R177" s="16" t="str">
        <x:f>IF(OR(A177="",C177&lt;&gt;"研究",D177="",J177&lt;&gt;"已判定"),"",IF(COUNTIFS($D$6:D177,D177,$C$6:C177,"研究",$J$6:J177,"已判定")=1,1,0))</x:f>
      </x:c>
      <x:c r="S177" s="16" t="str">
        <x:f>IF(OR(A177="",C177&lt;&gt;"研究",D177="",J177&lt;&gt;"已判定"),"",IF(COUNTIFS($D$6:D177,D177,$B$6:B177,B177,$C$6:C177,"研究",$J$6:J177,"已判定")=1,1,0))</x:f>
      </x:c>
      <x:c r="T177" s="16" t="str">
        <x:f>IF(A177="","",IF(AND(D177&lt;&gt;"",J177="已判定",K177="是",L177="是",COUNTIF('笔记筛选'!$A$6:$A$35,E177)=1,COUNTIF('批次记录'!$A$6:$A$17,B177)=1,COUNTIF('证据索引'!$A$6:$A$105,F177)=1),IF(AND(INDEX('笔记筛选'!$O$6:$O$35,MATCH(E177,'笔记筛选'!$A$6:$A$35,0))=1,INDEX('证据索引'!$H$6:$H$105,MATCH(F177,'证据索引'!$A$6:$A$105,0))="可定位",INDEX('证据索引'!$F$6:$F$105,MATCH(F177,'证据索引'!$A$6:$A$105,0))="是",INDEX('证据索引'!$B$6:$B$105,MATCH(F177,'证据索引'!$A$6:$A$105,0))=E177),1,0),0))</x:f>
      </x:c>
      <x:c r="U177" s="16" t="str">
        <x:f>IF(R177="","",IF(AND(R177=1,COUNTIF($AA$6:$AA$205,D177)&gt;0),1,0))</x:f>
      </x:c>
      <x:c r="V177" s="16" t="str">
        <x:f>IF(R177="","",IF(AND(R177=1,COUNTIFS('问题评论关联'!$C$6:$C$205,D177,'问题评论关联'!$G$6:$G$205,1)&gt;0),1,0))</x:f>
      </x:c>
      <x:c r="W177" s="16" t="str">
        <x:f>IF(S177="","",IF(AND(S177=1,COUNTIFS('问题评论关联'!$C$6:$C$205,D177,'问题评论关联'!$G$6:$G$205,1)&gt;0),1,0))</x:f>
      </x:c>
      <x:c r="X177" s="16" t="str">
        <x:f>IF(A177="","",IF(AND(C177="研究",OR(D177="",J177&lt;&gt;"已判定")),1,0))</x:f>
      </x:c>
      <x:c r="Y177" s="16" t="str">
        <x:f>IF(A177="","",IF(COUNTIF('批次记录'!$A$6:$A$17,B177)&lt;&gt;1,"批次缺失或重复",IF(COUNTIF('笔记筛选'!$A$6:$A$35,E177)&lt;&gt;1,"笔记缺失或重复",IF(AND(K177="是",COUNTIF('证据索引'!$A$6:$A$105,F177)&lt;&gt;1),"证据缺失或重复",""))))</x:f>
      </x:c>
      <x:c r="AA177" s="16" t="str">
        <x:f>IF(A177="","",IF(AND(C177="研究",T177=1),D177,""))</x:f>
      </x:c>
    </x:row>
    <x:row r="178" ht="36" customHeight="1">
      <x:c r="A178" s="11"/>
      <x:c r="B178" s="11"/>
      <x:c r="C178" s="11"/>
      <x:c r="D178" s="11"/>
      <x:c r="E178" s="11"/>
      <x:c r="F178" s="11"/>
      <x:c r="G178" s="17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6" t="str">
        <x:f>IF(A178="","",IF(C178="研究",1,0))</x:f>
      </x:c>
      <x:c r="R178" s="16" t="str">
        <x:f>IF(OR(A178="",C178&lt;&gt;"研究",D178="",J178&lt;&gt;"已判定"),"",IF(COUNTIFS($D$6:D178,D178,$C$6:C178,"研究",$J$6:J178,"已判定")=1,1,0))</x:f>
      </x:c>
      <x:c r="S178" s="16" t="str">
        <x:f>IF(OR(A178="",C178&lt;&gt;"研究",D178="",J178&lt;&gt;"已判定"),"",IF(COUNTIFS($D$6:D178,D178,$B$6:B178,B178,$C$6:C178,"研究",$J$6:J178,"已判定")=1,1,0))</x:f>
      </x:c>
      <x:c r="T178" s="16" t="str">
        <x:f>IF(A178="","",IF(AND(D178&lt;&gt;"",J178="已判定",K178="是",L178="是",COUNTIF('笔记筛选'!$A$6:$A$35,E178)=1,COUNTIF('批次记录'!$A$6:$A$17,B178)=1,COUNTIF('证据索引'!$A$6:$A$105,F178)=1),IF(AND(INDEX('笔记筛选'!$O$6:$O$35,MATCH(E178,'笔记筛选'!$A$6:$A$35,0))=1,INDEX('证据索引'!$H$6:$H$105,MATCH(F178,'证据索引'!$A$6:$A$105,0))="可定位",INDEX('证据索引'!$F$6:$F$105,MATCH(F178,'证据索引'!$A$6:$A$105,0))="是",INDEX('证据索引'!$B$6:$B$105,MATCH(F178,'证据索引'!$A$6:$A$105,0))=E178),1,0),0))</x:f>
      </x:c>
      <x:c r="U178" s="16" t="str">
        <x:f>IF(R178="","",IF(AND(R178=1,COUNTIF($AA$6:$AA$205,D178)&gt;0),1,0))</x:f>
      </x:c>
      <x:c r="V178" s="16" t="str">
        <x:f>IF(R178="","",IF(AND(R178=1,COUNTIFS('问题评论关联'!$C$6:$C$205,D178,'问题评论关联'!$G$6:$G$205,1)&gt;0),1,0))</x:f>
      </x:c>
      <x:c r="W178" s="16" t="str">
        <x:f>IF(S178="","",IF(AND(S178=1,COUNTIFS('问题评论关联'!$C$6:$C$205,D178,'问题评论关联'!$G$6:$G$205,1)&gt;0),1,0))</x:f>
      </x:c>
      <x:c r="X178" s="16" t="str">
        <x:f>IF(A178="","",IF(AND(C178="研究",OR(D178="",J178&lt;&gt;"已判定")),1,0))</x:f>
      </x:c>
      <x:c r="Y178" s="16" t="str">
        <x:f>IF(A178="","",IF(COUNTIF('批次记录'!$A$6:$A$17,B178)&lt;&gt;1,"批次缺失或重复",IF(COUNTIF('笔记筛选'!$A$6:$A$35,E178)&lt;&gt;1,"笔记缺失或重复",IF(AND(K178="是",COUNTIF('证据索引'!$A$6:$A$105,F178)&lt;&gt;1),"证据缺失或重复",""))))</x:f>
      </x:c>
      <x:c r="AA178" s="16" t="str">
        <x:f>IF(A178="","",IF(AND(C178="研究",T178=1),D178,""))</x:f>
      </x:c>
    </x:row>
    <x:row r="179" ht="36" customHeight="1">
      <x:c r="A179" s="11"/>
      <x:c r="B179" s="11"/>
      <x:c r="C179" s="11"/>
      <x:c r="D179" s="11"/>
      <x:c r="E179" s="11"/>
      <x:c r="F179" s="11"/>
      <x:c r="G179" s="17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6" t="str">
        <x:f>IF(A179="","",IF(C179="研究",1,0))</x:f>
      </x:c>
      <x:c r="R179" s="16" t="str">
        <x:f>IF(OR(A179="",C179&lt;&gt;"研究",D179="",J179&lt;&gt;"已判定"),"",IF(COUNTIFS($D$6:D179,D179,$C$6:C179,"研究",$J$6:J179,"已判定")=1,1,0))</x:f>
      </x:c>
      <x:c r="S179" s="16" t="str">
        <x:f>IF(OR(A179="",C179&lt;&gt;"研究",D179="",J179&lt;&gt;"已判定"),"",IF(COUNTIFS($D$6:D179,D179,$B$6:B179,B179,$C$6:C179,"研究",$J$6:J179,"已判定")=1,1,0))</x:f>
      </x:c>
      <x:c r="T179" s="16" t="str">
        <x:f>IF(A179="","",IF(AND(D179&lt;&gt;"",J179="已判定",K179="是",L179="是",COUNTIF('笔记筛选'!$A$6:$A$35,E179)=1,COUNTIF('批次记录'!$A$6:$A$17,B179)=1,COUNTIF('证据索引'!$A$6:$A$105,F179)=1),IF(AND(INDEX('笔记筛选'!$O$6:$O$35,MATCH(E179,'笔记筛选'!$A$6:$A$35,0))=1,INDEX('证据索引'!$H$6:$H$105,MATCH(F179,'证据索引'!$A$6:$A$105,0))="可定位",INDEX('证据索引'!$F$6:$F$105,MATCH(F179,'证据索引'!$A$6:$A$105,0))="是",INDEX('证据索引'!$B$6:$B$105,MATCH(F179,'证据索引'!$A$6:$A$105,0))=E179),1,0),0))</x:f>
      </x:c>
      <x:c r="U179" s="16" t="str">
        <x:f>IF(R179="","",IF(AND(R179=1,COUNTIF($AA$6:$AA$205,D179)&gt;0),1,0))</x:f>
      </x:c>
      <x:c r="V179" s="16" t="str">
        <x:f>IF(R179="","",IF(AND(R179=1,COUNTIFS('问题评论关联'!$C$6:$C$205,D179,'问题评论关联'!$G$6:$G$205,1)&gt;0),1,0))</x:f>
      </x:c>
      <x:c r="W179" s="16" t="str">
        <x:f>IF(S179="","",IF(AND(S179=1,COUNTIFS('问题评论关联'!$C$6:$C$205,D179,'问题评论关联'!$G$6:$G$205,1)&gt;0),1,0))</x:f>
      </x:c>
      <x:c r="X179" s="16" t="str">
        <x:f>IF(A179="","",IF(AND(C179="研究",OR(D179="",J179&lt;&gt;"已判定")),1,0))</x:f>
      </x:c>
      <x:c r="Y179" s="16" t="str">
        <x:f>IF(A179="","",IF(COUNTIF('批次记录'!$A$6:$A$17,B179)&lt;&gt;1,"批次缺失或重复",IF(COUNTIF('笔记筛选'!$A$6:$A$35,E179)&lt;&gt;1,"笔记缺失或重复",IF(AND(K179="是",COUNTIF('证据索引'!$A$6:$A$105,F179)&lt;&gt;1),"证据缺失或重复",""))))</x:f>
      </x:c>
      <x:c r="AA179" s="16" t="str">
        <x:f>IF(A179="","",IF(AND(C179="研究",T179=1),D179,""))</x:f>
      </x:c>
    </x:row>
    <x:row r="180" ht="36" customHeight="1">
      <x:c r="A180" s="11"/>
      <x:c r="B180" s="11"/>
      <x:c r="C180" s="11"/>
      <x:c r="D180" s="11"/>
      <x:c r="E180" s="11"/>
      <x:c r="F180" s="11"/>
      <x:c r="G180" s="17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6" t="str">
        <x:f>IF(A180="","",IF(C180="研究",1,0))</x:f>
      </x:c>
      <x:c r="R180" s="16" t="str">
        <x:f>IF(OR(A180="",C180&lt;&gt;"研究",D180="",J180&lt;&gt;"已判定"),"",IF(COUNTIFS($D$6:D180,D180,$C$6:C180,"研究",$J$6:J180,"已判定")=1,1,0))</x:f>
      </x:c>
      <x:c r="S180" s="16" t="str">
        <x:f>IF(OR(A180="",C180&lt;&gt;"研究",D180="",J180&lt;&gt;"已判定"),"",IF(COUNTIFS($D$6:D180,D180,$B$6:B180,B180,$C$6:C180,"研究",$J$6:J180,"已判定")=1,1,0))</x:f>
      </x:c>
      <x:c r="T180" s="16" t="str">
        <x:f>IF(A180="","",IF(AND(D180&lt;&gt;"",J180="已判定",K180="是",L180="是",COUNTIF('笔记筛选'!$A$6:$A$35,E180)=1,COUNTIF('批次记录'!$A$6:$A$17,B180)=1,COUNTIF('证据索引'!$A$6:$A$105,F180)=1),IF(AND(INDEX('笔记筛选'!$O$6:$O$35,MATCH(E180,'笔记筛选'!$A$6:$A$35,0))=1,INDEX('证据索引'!$H$6:$H$105,MATCH(F180,'证据索引'!$A$6:$A$105,0))="可定位",INDEX('证据索引'!$F$6:$F$105,MATCH(F180,'证据索引'!$A$6:$A$105,0))="是",INDEX('证据索引'!$B$6:$B$105,MATCH(F180,'证据索引'!$A$6:$A$105,0))=E180),1,0),0))</x:f>
      </x:c>
      <x:c r="U180" s="16" t="str">
        <x:f>IF(R180="","",IF(AND(R180=1,COUNTIF($AA$6:$AA$205,D180)&gt;0),1,0))</x:f>
      </x:c>
      <x:c r="V180" s="16" t="str">
        <x:f>IF(R180="","",IF(AND(R180=1,COUNTIFS('问题评论关联'!$C$6:$C$205,D180,'问题评论关联'!$G$6:$G$205,1)&gt;0),1,0))</x:f>
      </x:c>
      <x:c r="W180" s="16" t="str">
        <x:f>IF(S180="","",IF(AND(S180=1,COUNTIFS('问题评论关联'!$C$6:$C$205,D180,'问题评论关联'!$G$6:$G$205,1)&gt;0),1,0))</x:f>
      </x:c>
      <x:c r="X180" s="16" t="str">
        <x:f>IF(A180="","",IF(AND(C180="研究",OR(D180="",J180&lt;&gt;"已判定")),1,0))</x:f>
      </x:c>
      <x:c r="Y180" s="16" t="str">
        <x:f>IF(A180="","",IF(COUNTIF('批次记录'!$A$6:$A$17,B180)&lt;&gt;1,"批次缺失或重复",IF(COUNTIF('笔记筛选'!$A$6:$A$35,E180)&lt;&gt;1,"笔记缺失或重复",IF(AND(K180="是",COUNTIF('证据索引'!$A$6:$A$105,F180)&lt;&gt;1),"证据缺失或重复",""))))</x:f>
      </x:c>
      <x:c r="AA180" s="16" t="str">
        <x:f>IF(A180="","",IF(AND(C180="研究",T180=1),D180,""))</x:f>
      </x:c>
    </x:row>
    <x:row r="181" ht="36" customHeight="1">
      <x:c r="A181" s="11"/>
      <x:c r="B181" s="11"/>
      <x:c r="C181" s="11"/>
      <x:c r="D181" s="11"/>
      <x:c r="E181" s="11"/>
      <x:c r="F181" s="11"/>
      <x:c r="G181" s="17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6" t="str">
        <x:f>IF(A181="","",IF(C181="研究",1,0))</x:f>
      </x:c>
      <x:c r="R181" s="16" t="str">
        <x:f>IF(OR(A181="",C181&lt;&gt;"研究",D181="",J181&lt;&gt;"已判定"),"",IF(COUNTIFS($D$6:D181,D181,$C$6:C181,"研究",$J$6:J181,"已判定")=1,1,0))</x:f>
      </x:c>
      <x:c r="S181" s="16" t="str">
        <x:f>IF(OR(A181="",C181&lt;&gt;"研究",D181="",J181&lt;&gt;"已判定"),"",IF(COUNTIFS($D$6:D181,D181,$B$6:B181,B181,$C$6:C181,"研究",$J$6:J181,"已判定")=1,1,0))</x:f>
      </x:c>
      <x:c r="T181" s="16" t="str">
        <x:f>IF(A181="","",IF(AND(D181&lt;&gt;"",J181="已判定",K181="是",L181="是",COUNTIF('笔记筛选'!$A$6:$A$35,E181)=1,COUNTIF('批次记录'!$A$6:$A$17,B181)=1,COUNTIF('证据索引'!$A$6:$A$105,F181)=1),IF(AND(INDEX('笔记筛选'!$O$6:$O$35,MATCH(E181,'笔记筛选'!$A$6:$A$35,0))=1,INDEX('证据索引'!$H$6:$H$105,MATCH(F181,'证据索引'!$A$6:$A$105,0))="可定位",INDEX('证据索引'!$F$6:$F$105,MATCH(F181,'证据索引'!$A$6:$A$105,0))="是",INDEX('证据索引'!$B$6:$B$105,MATCH(F181,'证据索引'!$A$6:$A$105,0))=E181),1,0),0))</x:f>
      </x:c>
      <x:c r="U181" s="16" t="str">
        <x:f>IF(R181="","",IF(AND(R181=1,COUNTIF($AA$6:$AA$205,D181)&gt;0),1,0))</x:f>
      </x:c>
      <x:c r="V181" s="16" t="str">
        <x:f>IF(R181="","",IF(AND(R181=1,COUNTIFS('问题评论关联'!$C$6:$C$205,D181,'问题评论关联'!$G$6:$G$205,1)&gt;0),1,0))</x:f>
      </x:c>
      <x:c r="W181" s="16" t="str">
        <x:f>IF(S181="","",IF(AND(S181=1,COUNTIFS('问题评论关联'!$C$6:$C$205,D181,'问题评论关联'!$G$6:$G$205,1)&gt;0),1,0))</x:f>
      </x:c>
      <x:c r="X181" s="16" t="str">
        <x:f>IF(A181="","",IF(AND(C181="研究",OR(D181="",J181&lt;&gt;"已判定")),1,0))</x:f>
      </x:c>
      <x:c r="Y181" s="16" t="str">
        <x:f>IF(A181="","",IF(COUNTIF('批次记录'!$A$6:$A$17,B181)&lt;&gt;1,"批次缺失或重复",IF(COUNTIF('笔记筛选'!$A$6:$A$35,E181)&lt;&gt;1,"笔记缺失或重复",IF(AND(K181="是",COUNTIF('证据索引'!$A$6:$A$105,F181)&lt;&gt;1),"证据缺失或重复",""))))</x:f>
      </x:c>
      <x:c r="AA181" s="16" t="str">
        <x:f>IF(A181="","",IF(AND(C181="研究",T181=1),D181,""))</x:f>
      </x:c>
    </x:row>
    <x:row r="182" ht="36" customHeight="1">
      <x:c r="A182" s="11"/>
      <x:c r="B182" s="11"/>
      <x:c r="C182" s="11"/>
      <x:c r="D182" s="11"/>
      <x:c r="E182" s="11"/>
      <x:c r="F182" s="11"/>
      <x:c r="G182" s="17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6" t="str">
        <x:f>IF(A182="","",IF(C182="研究",1,0))</x:f>
      </x:c>
      <x:c r="R182" s="16" t="str">
        <x:f>IF(OR(A182="",C182&lt;&gt;"研究",D182="",J182&lt;&gt;"已判定"),"",IF(COUNTIFS($D$6:D182,D182,$C$6:C182,"研究",$J$6:J182,"已判定")=1,1,0))</x:f>
      </x:c>
      <x:c r="S182" s="16" t="str">
        <x:f>IF(OR(A182="",C182&lt;&gt;"研究",D182="",J182&lt;&gt;"已判定"),"",IF(COUNTIFS($D$6:D182,D182,$B$6:B182,B182,$C$6:C182,"研究",$J$6:J182,"已判定")=1,1,0))</x:f>
      </x:c>
      <x:c r="T182" s="16" t="str">
        <x:f>IF(A182="","",IF(AND(D182&lt;&gt;"",J182="已判定",K182="是",L182="是",COUNTIF('笔记筛选'!$A$6:$A$35,E182)=1,COUNTIF('批次记录'!$A$6:$A$17,B182)=1,COUNTIF('证据索引'!$A$6:$A$105,F182)=1),IF(AND(INDEX('笔记筛选'!$O$6:$O$35,MATCH(E182,'笔记筛选'!$A$6:$A$35,0))=1,INDEX('证据索引'!$H$6:$H$105,MATCH(F182,'证据索引'!$A$6:$A$105,0))="可定位",INDEX('证据索引'!$F$6:$F$105,MATCH(F182,'证据索引'!$A$6:$A$105,0))="是",INDEX('证据索引'!$B$6:$B$105,MATCH(F182,'证据索引'!$A$6:$A$105,0))=E182),1,0),0))</x:f>
      </x:c>
      <x:c r="U182" s="16" t="str">
        <x:f>IF(R182="","",IF(AND(R182=1,COUNTIF($AA$6:$AA$205,D182)&gt;0),1,0))</x:f>
      </x:c>
      <x:c r="V182" s="16" t="str">
        <x:f>IF(R182="","",IF(AND(R182=1,COUNTIFS('问题评论关联'!$C$6:$C$205,D182,'问题评论关联'!$G$6:$G$205,1)&gt;0),1,0))</x:f>
      </x:c>
      <x:c r="W182" s="16" t="str">
        <x:f>IF(S182="","",IF(AND(S182=1,COUNTIFS('问题评论关联'!$C$6:$C$205,D182,'问题评论关联'!$G$6:$G$205,1)&gt;0),1,0))</x:f>
      </x:c>
      <x:c r="X182" s="16" t="str">
        <x:f>IF(A182="","",IF(AND(C182="研究",OR(D182="",J182&lt;&gt;"已判定")),1,0))</x:f>
      </x:c>
      <x:c r="Y182" s="16" t="str">
        <x:f>IF(A182="","",IF(COUNTIF('批次记录'!$A$6:$A$17,B182)&lt;&gt;1,"批次缺失或重复",IF(COUNTIF('笔记筛选'!$A$6:$A$35,E182)&lt;&gt;1,"笔记缺失或重复",IF(AND(K182="是",COUNTIF('证据索引'!$A$6:$A$105,F182)&lt;&gt;1),"证据缺失或重复",""))))</x:f>
      </x:c>
      <x:c r="AA182" s="16" t="str">
        <x:f>IF(A182="","",IF(AND(C182="研究",T182=1),D182,""))</x:f>
      </x:c>
    </x:row>
    <x:row r="183" ht="36" customHeight="1">
      <x:c r="A183" s="11"/>
      <x:c r="B183" s="11"/>
      <x:c r="C183" s="11"/>
      <x:c r="D183" s="11"/>
      <x:c r="E183" s="11"/>
      <x:c r="F183" s="11"/>
      <x:c r="G183" s="17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6" t="str">
        <x:f>IF(A183="","",IF(C183="研究",1,0))</x:f>
      </x:c>
      <x:c r="R183" s="16" t="str">
        <x:f>IF(OR(A183="",C183&lt;&gt;"研究",D183="",J183&lt;&gt;"已判定"),"",IF(COUNTIFS($D$6:D183,D183,$C$6:C183,"研究",$J$6:J183,"已判定")=1,1,0))</x:f>
      </x:c>
      <x:c r="S183" s="16" t="str">
        <x:f>IF(OR(A183="",C183&lt;&gt;"研究",D183="",J183&lt;&gt;"已判定"),"",IF(COUNTIFS($D$6:D183,D183,$B$6:B183,B183,$C$6:C183,"研究",$J$6:J183,"已判定")=1,1,0))</x:f>
      </x:c>
      <x:c r="T183" s="16" t="str">
        <x:f>IF(A183="","",IF(AND(D183&lt;&gt;"",J183="已判定",K183="是",L183="是",COUNTIF('笔记筛选'!$A$6:$A$35,E183)=1,COUNTIF('批次记录'!$A$6:$A$17,B183)=1,COUNTIF('证据索引'!$A$6:$A$105,F183)=1),IF(AND(INDEX('笔记筛选'!$O$6:$O$35,MATCH(E183,'笔记筛选'!$A$6:$A$35,0))=1,INDEX('证据索引'!$H$6:$H$105,MATCH(F183,'证据索引'!$A$6:$A$105,0))="可定位",INDEX('证据索引'!$F$6:$F$105,MATCH(F183,'证据索引'!$A$6:$A$105,0))="是",INDEX('证据索引'!$B$6:$B$105,MATCH(F183,'证据索引'!$A$6:$A$105,0))=E183),1,0),0))</x:f>
      </x:c>
      <x:c r="U183" s="16" t="str">
        <x:f>IF(R183="","",IF(AND(R183=1,COUNTIF($AA$6:$AA$205,D183)&gt;0),1,0))</x:f>
      </x:c>
      <x:c r="V183" s="16" t="str">
        <x:f>IF(R183="","",IF(AND(R183=1,COUNTIFS('问题评论关联'!$C$6:$C$205,D183,'问题评论关联'!$G$6:$G$205,1)&gt;0),1,0))</x:f>
      </x:c>
      <x:c r="W183" s="16" t="str">
        <x:f>IF(S183="","",IF(AND(S183=1,COUNTIFS('问题评论关联'!$C$6:$C$205,D183,'问题评论关联'!$G$6:$G$205,1)&gt;0),1,0))</x:f>
      </x:c>
      <x:c r="X183" s="16" t="str">
        <x:f>IF(A183="","",IF(AND(C183="研究",OR(D183="",J183&lt;&gt;"已判定")),1,0))</x:f>
      </x:c>
      <x:c r="Y183" s="16" t="str">
        <x:f>IF(A183="","",IF(COUNTIF('批次记录'!$A$6:$A$17,B183)&lt;&gt;1,"批次缺失或重复",IF(COUNTIF('笔记筛选'!$A$6:$A$35,E183)&lt;&gt;1,"笔记缺失或重复",IF(AND(K183="是",COUNTIF('证据索引'!$A$6:$A$105,F183)&lt;&gt;1),"证据缺失或重复",""))))</x:f>
      </x:c>
      <x:c r="AA183" s="16" t="str">
        <x:f>IF(A183="","",IF(AND(C183="研究",T183=1),D183,""))</x:f>
      </x:c>
    </x:row>
    <x:row r="184" ht="36" customHeight="1">
      <x:c r="A184" s="11"/>
      <x:c r="B184" s="11"/>
      <x:c r="C184" s="11"/>
      <x:c r="D184" s="11"/>
      <x:c r="E184" s="11"/>
      <x:c r="F184" s="11"/>
      <x:c r="G184" s="17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6" t="str">
        <x:f>IF(A184="","",IF(C184="研究",1,0))</x:f>
      </x:c>
      <x:c r="R184" s="16" t="str">
        <x:f>IF(OR(A184="",C184&lt;&gt;"研究",D184="",J184&lt;&gt;"已判定"),"",IF(COUNTIFS($D$6:D184,D184,$C$6:C184,"研究",$J$6:J184,"已判定")=1,1,0))</x:f>
      </x:c>
      <x:c r="S184" s="16" t="str">
        <x:f>IF(OR(A184="",C184&lt;&gt;"研究",D184="",J184&lt;&gt;"已判定"),"",IF(COUNTIFS($D$6:D184,D184,$B$6:B184,B184,$C$6:C184,"研究",$J$6:J184,"已判定")=1,1,0))</x:f>
      </x:c>
      <x:c r="T184" s="16" t="str">
        <x:f>IF(A184="","",IF(AND(D184&lt;&gt;"",J184="已判定",K184="是",L184="是",COUNTIF('笔记筛选'!$A$6:$A$35,E184)=1,COUNTIF('批次记录'!$A$6:$A$17,B184)=1,COUNTIF('证据索引'!$A$6:$A$105,F184)=1),IF(AND(INDEX('笔记筛选'!$O$6:$O$35,MATCH(E184,'笔记筛选'!$A$6:$A$35,0))=1,INDEX('证据索引'!$H$6:$H$105,MATCH(F184,'证据索引'!$A$6:$A$105,0))="可定位",INDEX('证据索引'!$F$6:$F$105,MATCH(F184,'证据索引'!$A$6:$A$105,0))="是",INDEX('证据索引'!$B$6:$B$105,MATCH(F184,'证据索引'!$A$6:$A$105,0))=E184),1,0),0))</x:f>
      </x:c>
      <x:c r="U184" s="16" t="str">
        <x:f>IF(R184="","",IF(AND(R184=1,COUNTIF($AA$6:$AA$205,D184)&gt;0),1,0))</x:f>
      </x:c>
      <x:c r="V184" s="16" t="str">
        <x:f>IF(R184="","",IF(AND(R184=1,COUNTIFS('问题评论关联'!$C$6:$C$205,D184,'问题评论关联'!$G$6:$G$205,1)&gt;0),1,0))</x:f>
      </x:c>
      <x:c r="W184" s="16" t="str">
        <x:f>IF(S184="","",IF(AND(S184=1,COUNTIFS('问题评论关联'!$C$6:$C$205,D184,'问题评论关联'!$G$6:$G$205,1)&gt;0),1,0))</x:f>
      </x:c>
      <x:c r="X184" s="16" t="str">
        <x:f>IF(A184="","",IF(AND(C184="研究",OR(D184="",J184&lt;&gt;"已判定")),1,0))</x:f>
      </x:c>
      <x:c r="Y184" s="16" t="str">
        <x:f>IF(A184="","",IF(COUNTIF('批次记录'!$A$6:$A$17,B184)&lt;&gt;1,"批次缺失或重复",IF(COUNTIF('笔记筛选'!$A$6:$A$35,E184)&lt;&gt;1,"笔记缺失或重复",IF(AND(K184="是",COUNTIF('证据索引'!$A$6:$A$105,F184)&lt;&gt;1),"证据缺失或重复",""))))</x:f>
      </x:c>
      <x:c r="AA184" s="16" t="str">
        <x:f>IF(A184="","",IF(AND(C184="研究",T184=1),D184,""))</x:f>
      </x:c>
    </x:row>
    <x:row r="185" ht="36" customHeight="1">
      <x:c r="A185" s="11"/>
      <x:c r="B185" s="11"/>
      <x:c r="C185" s="11"/>
      <x:c r="D185" s="11"/>
      <x:c r="E185" s="11"/>
      <x:c r="F185" s="11"/>
      <x:c r="G185" s="17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6" t="str">
        <x:f>IF(A185="","",IF(C185="研究",1,0))</x:f>
      </x:c>
      <x:c r="R185" s="16" t="str">
        <x:f>IF(OR(A185="",C185&lt;&gt;"研究",D185="",J185&lt;&gt;"已判定"),"",IF(COUNTIFS($D$6:D185,D185,$C$6:C185,"研究",$J$6:J185,"已判定")=1,1,0))</x:f>
      </x:c>
      <x:c r="S185" s="16" t="str">
        <x:f>IF(OR(A185="",C185&lt;&gt;"研究",D185="",J185&lt;&gt;"已判定"),"",IF(COUNTIFS($D$6:D185,D185,$B$6:B185,B185,$C$6:C185,"研究",$J$6:J185,"已判定")=1,1,0))</x:f>
      </x:c>
      <x:c r="T185" s="16" t="str">
        <x:f>IF(A185="","",IF(AND(D185&lt;&gt;"",J185="已判定",K185="是",L185="是",COUNTIF('笔记筛选'!$A$6:$A$35,E185)=1,COUNTIF('批次记录'!$A$6:$A$17,B185)=1,COUNTIF('证据索引'!$A$6:$A$105,F185)=1),IF(AND(INDEX('笔记筛选'!$O$6:$O$35,MATCH(E185,'笔记筛选'!$A$6:$A$35,0))=1,INDEX('证据索引'!$H$6:$H$105,MATCH(F185,'证据索引'!$A$6:$A$105,0))="可定位",INDEX('证据索引'!$F$6:$F$105,MATCH(F185,'证据索引'!$A$6:$A$105,0))="是",INDEX('证据索引'!$B$6:$B$105,MATCH(F185,'证据索引'!$A$6:$A$105,0))=E185),1,0),0))</x:f>
      </x:c>
      <x:c r="U185" s="16" t="str">
        <x:f>IF(R185="","",IF(AND(R185=1,COUNTIF($AA$6:$AA$205,D185)&gt;0),1,0))</x:f>
      </x:c>
      <x:c r="V185" s="16" t="str">
        <x:f>IF(R185="","",IF(AND(R185=1,COUNTIFS('问题评论关联'!$C$6:$C$205,D185,'问题评论关联'!$G$6:$G$205,1)&gt;0),1,0))</x:f>
      </x:c>
      <x:c r="W185" s="16" t="str">
        <x:f>IF(S185="","",IF(AND(S185=1,COUNTIFS('问题评论关联'!$C$6:$C$205,D185,'问题评论关联'!$G$6:$G$205,1)&gt;0),1,0))</x:f>
      </x:c>
      <x:c r="X185" s="16" t="str">
        <x:f>IF(A185="","",IF(AND(C185="研究",OR(D185="",J185&lt;&gt;"已判定")),1,0))</x:f>
      </x:c>
      <x:c r="Y185" s="16" t="str">
        <x:f>IF(A185="","",IF(COUNTIF('批次记录'!$A$6:$A$17,B185)&lt;&gt;1,"批次缺失或重复",IF(COUNTIF('笔记筛选'!$A$6:$A$35,E185)&lt;&gt;1,"笔记缺失或重复",IF(AND(K185="是",COUNTIF('证据索引'!$A$6:$A$105,F185)&lt;&gt;1),"证据缺失或重复",""))))</x:f>
      </x:c>
      <x:c r="AA185" s="16" t="str">
        <x:f>IF(A185="","",IF(AND(C185="研究",T185=1),D185,""))</x:f>
      </x:c>
    </x:row>
    <x:row r="186" ht="36" customHeight="1">
      <x:c r="A186" s="11"/>
      <x:c r="B186" s="11"/>
      <x:c r="C186" s="11"/>
      <x:c r="D186" s="11"/>
      <x:c r="E186" s="11"/>
      <x:c r="F186" s="11"/>
      <x:c r="G186" s="17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6" t="str">
        <x:f>IF(A186="","",IF(C186="研究",1,0))</x:f>
      </x:c>
      <x:c r="R186" s="16" t="str">
        <x:f>IF(OR(A186="",C186&lt;&gt;"研究",D186="",J186&lt;&gt;"已判定"),"",IF(COUNTIFS($D$6:D186,D186,$C$6:C186,"研究",$J$6:J186,"已判定")=1,1,0))</x:f>
      </x:c>
      <x:c r="S186" s="16" t="str">
        <x:f>IF(OR(A186="",C186&lt;&gt;"研究",D186="",J186&lt;&gt;"已判定"),"",IF(COUNTIFS($D$6:D186,D186,$B$6:B186,B186,$C$6:C186,"研究",$J$6:J186,"已判定")=1,1,0))</x:f>
      </x:c>
      <x:c r="T186" s="16" t="str">
        <x:f>IF(A186="","",IF(AND(D186&lt;&gt;"",J186="已判定",K186="是",L186="是",COUNTIF('笔记筛选'!$A$6:$A$35,E186)=1,COUNTIF('批次记录'!$A$6:$A$17,B186)=1,COUNTIF('证据索引'!$A$6:$A$105,F186)=1),IF(AND(INDEX('笔记筛选'!$O$6:$O$35,MATCH(E186,'笔记筛选'!$A$6:$A$35,0))=1,INDEX('证据索引'!$H$6:$H$105,MATCH(F186,'证据索引'!$A$6:$A$105,0))="可定位",INDEX('证据索引'!$F$6:$F$105,MATCH(F186,'证据索引'!$A$6:$A$105,0))="是",INDEX('证据索引'!$B$6:$B$105,MATCH(F186,'证据索引'!$A$6:$A$105,0))=E186),1,0),0))</x:f>
      </x:c>
      <x:c r="U186" s="16" t="str">
        <x:f>IF(R186="","",IF(AND(R186=1,COUNTIF($AA$6:$AA$205,D186)&gt;0),1,0))</x:f>
      </x:c>
      <x:c r="V186" s="16" t="str">
        <x:f>IF(R186="","",IF(AND(R186=1,COUNTIFS('问题评论关联'!$C$6:$C$205,D186,'问题评论关联'!$G$6:$G$205,1)&gt;0),1,0))</x:f>
      </x:c>
      <x:c r="W186" s="16" t="str">
        <x:f>IF(S186="","",IF(AND(S186=1,COUNTIFS('问题评论关联'!$C$6:$C$205,D186,'问题评论关联'!$G$6:$G$205,1)&gt;0),1,0))</x:f>
      </x:c>
      <x:c r="X186" s="16" t="str">
        <x:f>IF(A186="","",IF(AND(C186="研究",OR(D186="",J186&lt;&gt;"已判定")),1,0))</x:f>
      </x:c>
      <x:c r="Y186" s="16" t="str">
        <x:f>IF(A186="","",IF(COUNTIF('批次记录'!$A$6:$A$17,B186)&lt;&gt;1,"批次缺失或重复",IF(COUNTIF('笔记筛选'!$A$6:$A$35,E186)&lt;&gt;1,"笔记缺失或重复",IF(AND(K186="是",COUNTIF('证据索引'!$A$6:$A$105,F186)&lt;&gt;1),"证据缺失或重复",""))))</x:f>
      </x:c>
      <x:c r="AA186" s="16" t="str">
        <x:f>IF(A186="","",IF(AND(C186="研究",T186=1),D186,""))</x:f>
      </x:c>
    </x:row>
    <x:row r="187" ht="36" customHeight="1">
      <x:c r="A187" s="11"/>
      <x:c r="B187" s="11"/>
      <x:c r="C187" s="11"/>
      <x:c r="D187" s="11"/>
      <x:c r="E187" s="11"/>
      <x:c r="F187" s="11"/>
      <x:c r="G187" s="17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6" t="str">
        <x:f>IF(A187="","",IF(C187="研究",1,0))</x:f>
      </x:c>
      <x:c r="R187" s="16" t="str">
        <x:f>IF(OR(A187="",C187&lt;&gt;"研究",D187="",J187&lt;&gt;"已判定"),"",IF(COUNTIFS($D$6:D187,D187,$C$6:C187,"研究",$J$6:J187,"已判定")=1,1,0))</x:f>
      </x:c>
      <x:c r="S187" s="16" t="str">
        <x:f>IF(OR(A187="",C187&lt;&gt;"研究",D187="",J187&lt;&gt;"已判定"),"",IF(COUNTIFS($D$6:D187,D187,$B$6:B187,B187,$C$6:C187,"研究",$J$6:J187,"已判定")=1,1,0))</x:f>
      </x:c>
      <x:c r="T187" s="16" t="str">
        <x:f>IF(A187="","",IF(AND(D187&lt;&gt;"",J187="已判定",K187="是",L187="是",COUNTIF('笔记筛选'!$A$6:$A$35,E187)=1,COUNTIF('批次记录'!$A$6:$A$17,B187)=1,COUNTIF('证据索引'!$A$6:$A$105,F187)=1),IF(AND(INDEX('笔记筛选'!$O$6:$O$35,MATCH(E187,'笔记筛选'!$A$6:$A$35,0))=1,INDEX('证据索引'!$H$6:$H$105,MATCH(F187,'证据索引'!$A$6:$A$105,0))="可定位",INDEX('证据索引'!$F$6:$F$105,MATCH(F187,'证据索引'!$A$6:$A$105,0))="是",INDEX('证据索引'!$B$6:$B$105,MATCH(F187,'证据索引'!$A$6:$A$105,0))=E187),1,0),0))</x:f>
      </x:c>
      <x:c r="U187" s="16" t="str">
        <x:f>IF(R187="","",IF(AND(R187=1,COUNTIF($AA$6:$AA$205,D187)&gt;0),1,0))</x:f>
      </x:c>
      <x:c r="V187" s="16" t="str">
        <x:f>IF(R187="","",IF(AND(R187=1,COUNTIFS('问题评论关联'!$C$6:$C$205,D187,'问题评论关联'!$G$6:$G$205,1)&gt;0),1,0))</x:f>
      </x:c>
      <x:c r="W187" s="16" t="str">
        <x:f>IF(S187="","",IF(AND(S187=1,COUNTIFS('问题评论关联'!$C$6:$C$205,D187,'问题评论关联'!$G$6:$G$205,1)&gt;0),1,0))</x:f>
      </x:c>
      <x:c r="X187" s="16" t="str">
        <x:f>IF(A187="","",IF(AND(C187="研究",OR(D187="",J187&lt;&gt;"已判定")),1,0))</x:f>
      </x:c>
      <x:c r="Y187" s="16" t="str">
        <x:f>IF(A187="","",IF(COUNTIF('批次记录'!$A$6:$A$17,B187)&lt;&gt;1,"批次缺失或重复",IF(COUNTIF('笔记筛选'!$A$6:$A$35,E187)&lt;&gt;1,"笔记缺失或重复",IF(AND(K187="是",COUNTIF('证据索引'!$A$6:$A$105,F187)&lt;&gt;1),"证据缺失或重复",""))))</x:f>
      </x:c>
      <x:c r="AA187" s="16" t="str">
        <x:f>IF(A187="","",IF(AND(C187="研究",T187=1),D187,""))</x:f>
      </x:c>
    </x:row>
    <x:row r="188" ht="36" customHeight="1">
      <x:c r="A188" s="11"/>
      <x:c r="B188" s="11"/>
      <x:c r="C188" s="11"/>
      <x:c r="D188" s="11"/>
      <x:c r="E188" s="11"/>
      <x:c r="F188" s="11"/>
      <x:c r="G188" s="17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6" t="str">
        <x:f>IF(A188="","",IF(C188="研究",1,0))</x:f>
      </x:c>
      <x:c r="R188" s="16" t="str">
        <x:f>IF(OR(A188="",C188&lt;&gt;"研究",D188="",J188&lt;&gt;"已判定"),"",IF(COUNTIFS($D$6:D188,D188,$C$6:C188,"研究",$J$6:J188,"已判定")=1,1,0))</x:f>
      </x:c>
      <x:c r="S188" s="16" t="str">
        <x:f>IF(OR(A188="",C188&lt;&gt;"研究",D188="",J188&lt;&gt;"已判定"),"",IF(COUNTIFS($D$6:D188,D188,$B$6:B188,B188,$C$6:C188,"研究",$J$6:J188,"已判定")=1,1,0))</x:f>
      </x:c>
      <x:c r="T188" s="16" t="str">
        <x:f>IF(A188="","",IF(AND(D188&lt;&gt;"",J188="已判定",K188="是",L188="是",COUNTIF('笔记筛选'!$A$6:$A$35,E188)=1,COUNTIF('批次记录'!$A$6:$A$17,B188)=1,COUNTIF('证据索引'!$A$6:$A$105,F188)=1),IF(AND(INDEX('笔记筛选'!$O$6:$O$35,MATCH(E188,'笔记筛选'!$A$6:$A$35,0))=1,INDEX('证据索引'!$H$6:$H$105,MATCH(F188,'证据索引'!$A$6:$A$105,0))="可定位",INDEX('证据索引'!$F$6:$F$105,MATCH(F188,'证据索引'!$A$6:$A$105,0))="是",INDEX('证据索引'!$B$6:$B$105,MATCH(F188,'证据索引'!$A$6:$A$105,0))=E188),1,0),0))</x:f>
      </x:c>
      <x:c r="U188" s="16" t="str">
        <x:f>IF(R188="","",IF(AND(R188=1,COUNTIF($AA$6:$AA$205,D188)&gt;0),1,0))</x:f>
      </x:c>
      <x:c r="V188" s="16" t="str">
        <x:f>IF(R188="","",IF(AND(R188=1,COUNTIFS('问题评论关联'!$C$6:$C$205,D188,'问题评论关联'!$G$6:$G$205,1)&gt;0),1,0))</x:f>
      </x:c>
      <x:c r="W188" s="16" t="str">
        <x:f>IF(S188="","",IF(AND(S188=1,COUNTIFS('问题评论关联'!$C$6:$C$205,D188,'问题评论关联'!$G$6:$G$205,1)&gt;0),1,0))</x:f>
      </x:c>
      <x:c r="X188" s="16" t="str">
        <x:f>IF(A188="","",IF(AND(C188="研究",OR(D188="",J188&lt;&gt;"已判定")),1,0))</x:f>
      </x:c>
      <x:c r="Y188" s="16" t="str">
        <x:f>IF(A188="","",IF(COUNTIF('批次记录'!$A$6:$A$17,B188)&lt;&gt;1,"批次缺失或重复",IF(COUNTIF('笔记筛选'!$A$6:$A$35,E188)&lt;&gt;1,"笔记缺失或重复",IF(AND(K188="是",COUNTIF('证据索引'!$A$6:$A$105,F188)&lt;&gt;1),"证据缺失或重复",""))))</x:f>
      </x:c>
      <x:c r="AA188" s="16" t="str">
        <x:f>IF(A188="","",IF(AND(C188="研究",T188=1),D188,""))</x:f>
      </x:c>
    </x:row>
    <x:row r="189" ht="36" customHeight="1">
      <x:c r="A189" s="11"/>
      <x:c r="B189" s="11"/>
      <x:c r="C189" s="11"/>
      <x:c r="D189" s="11"/>
      <x:c r="E189" s="11"/>
      <x:c r="F189" s="11"/>
      <x:c r="G189" s="17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6" t="str">
        <x:f>IF(A189="","",IF(C189="研究",1,0))</x:f>
      </x:c>
      <x:c r="R189" s="16" t="str">
        <x:f>IF(OR(A189="",C189&lt;&gt;"研究",D189="",J189&lt;&gt;"已判定"),"",IF(COUNTIFS($D$6:D189,D189,$C$6:C189,"研究",$J$6:J189,"已判定")=1,1,0))</x:f>
      </x:c>
      <x:c r="S189" s="16" t="str">
        <x:f>IF(OR(A189="",C189&lt;&gt;"研究",D189="",J189&lt;&gt;"已判定"),"",IF(COUNTIFS($D$6:D189,D189,$B$6:B189,B189,$C$6:C189,"研究",$J$6:J189,"已判定")=1,1,0))</x:f>
      </x:c>
      <x:c r="T189" s="16" t="str">
        <x:f>IF(A189="","",IF(AND(D189&lt;&gt;"",J189="已判定",K189="是",L189="是",COUNTIF('笔记筛选'!$A$6:$A$35,E189)=1,COUNTIF('批次记录'!$A$6:$A$17,B189)=1,COUNTIF('证据索引'!$A$6:$A$105,F189)=1),IF(AND(INDEX('笔记筛选'!$O$6:$O$35,MATCH(E189,'笔记筛选'!$A$6:$A$35,0))=1,INDEX('证据索引'!$H$6:$H$105,MATCH(F189,'证据索引'!$A$6:$A$105,0))="可定位",INDEX('证据索引'!$F$6:$F$105,MATCH(F189,'证据索引'!$A$6:$A$105,0))="是",INDEX('证据索引'!$B$6:$B$105,MATCH(F189,'证据索引'!$A$6:$A$105,0))=E189),1,0),0))</x:f>
      </x:c>
      <x:c r="U189" s="16" t="str">
        <x:f>IF(R189="","",IF(AND(R189=1,COUNTIF($AA$6:$AA$205,D189)&gt;0),1,0))</x:f>
      </x:c>
      <x:c r="V189" s="16" t="str">
        <x:f>IF(R189="","",IF(AND(R189=1,COUNTIFS('问题评论关联'!$C$6:$C$205,D189,'问题评论关联'!$G$6:$G$205,1)&gt;0),1,0))</x:f>
      </x:c>
      <x:c r="W189" s="16" t="str">
        <x:f>IF(S189="","",IF(AND(S189=1,COUNTIFS('问题评论关联'!$C$6:$C$205,D189,'问题评论关联'!$G$6:$G$205,1)&gt;0),1,0))</x:f>
      </x:c>
      <x:c r="X189" s="16" t="str">
        <x:f>IF(A189="","",IF(AND(C189="研究",OR(D189="",J189&lt;&gt;"已判定")),1,0))</x:f>
      </x:c>
      <x:c r="Y189" s="16" t="str">
        <x:f>IF(A189="","",IF(COUNTIF('批次记录'!$A$6:$A$17,B189)&lt;&gt;1,"批次缺失或重复",IF(COUNTIF('笔记筛选'!$A$6:$A$35,E189)&lt;&gt;1,"笔记缺失或重复",IF(AND(K189="是",COUNTIF('证据索引'!$A$6:$A$105,F189)&lt;&gt;1),"证据缺失或重复",""))))</x:f>
      </x:c>
      <x:c r="AA189" s="16" t="str">
        <x:f>IF(A189="","",IF(AND(C189="研究",T189=1),D189,""))</x:f>
      </x:c>
    </x:row>
    <x:row r="190" ht="36" customHeight="1">
      <x:c r="A190" s="11"/>
      <x:c r="B190" s="11"/>
      <x:c r="C190" s="11"/>
      <x:c r="D190" s="11"/>
      <x:c r="E190" s="11"/>
      <x:c r="F190" s="11"/>
      <x:c r="G190" s="17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6" t="str">
        <x:f>IF(A190="","",IF(C190="研究",1,0))</x:f>
      </x:c>
      <x:c r="R190" s="16" t="str">
        <x:f>IF(OR(A190="",C190&lt;&gt;"研究",D190="",J190&lt;&gt;"已判定"),"",IF(COUNTIFS($D$6:D190,D190,$C$6:C190,"研究",$J$6:J190,"已判定")=1,1,0))</x:f>
      </x:c>
      <x:c r="S190" s="16" t="str">
        <x:f>IF(OR(A190="",C190&lt;&gt;"研究",D190="",J190&lt;&gt;"已判定"),"",IF(COUNTIFS($D$6:D190,D190,$B$6:B190,B190,$C$6:C190,"研究",$J$6:J190,"已判定")=1,1,0))</x:f>
      </x:c>
      <x:c r="T190" s="16" t="str">
        <x:f>IF(A190="","",IF(AND(D190&lt;&gt;"",J190="已判定",K190="是",L190="是",COUNTIF('笔记筛选'!$A$6:$A$35,E190)=1,COUNTIF('批次记录'!$A$6:$A$17,B190)=1,COUNTIF('证据索引'!$A$6:$A$105,F190)=1),IF(AND(INDEX('笔记筛选'!$O$6:$O$35,MATCH(E190,'笔记筛选'!$A$6:$A$35,0))=1,INDEX('证据索引'!$H$6:$H$105,MATCH(F190,'证据索引'!$A$6:$A$105,0))="可定位",INDEX('证据索引'!$F$6:$F$105,MATCH(F190,'证据索引'!$A$6:$A$105,0))="是",INDEX('证据索引'!$B$6:$B$105,MATCH(F190,'证据索引'!$A$6:$A$105,0))=E190),1,0),0))</x:f>
      </x:c>
      <x:c r="U190" s="16" t="str">
        <x:f>IF(R190="","",IF(AND(R190=1,COUNTIF($AA$6:$AA$205,D190)&gt;0),1,0))</x:f>
      </x:c>
      <x:c r="V190" s="16" t="str">
        <x:f>IF(R190="","",IF(AND(R190=1,COUNTIFS('问题评论关联'!$C$6:$C$205,D190,'问题评论关联'!$G$6:$G$205,1)&gt;0),1,0))</x:f>
      </x:c>
      <x:c r="W190" s="16" t="str">
        <x:f>IF(S190="","",IF(AND(S190=1,COUNTIFS('问题评论关联'!$C$6:$C$205,D190,'问题评论关联'!$G$6:$G$205,1)&gt;0),1,0))</x:f>
      </x:c>
      <x:c r="X190" s="16" t="str">
        <x:f>IF(A190="","",IF(AND(C190="研究",OR(D190="",J190&lt;&gt;"已判定")),1,0))</x:f>
      </x:c>
      <x:c r="Y190" s="16" t="str">
        <x:f>IF(A190="","",IF(COUNTIF('批次记录'!$A$6:$A$17,B190)&lt;&gt;1,"批次缺失或重复",IF(COUNTIF('笔记筛选'!$A$6:$A$35,E190)&lt;&gt;1,"笔记缺失或重复",IF(AND(K190="是",COUNTIF('证据索引'!$A$6:$A$105,F190)&lt;&gt;1),"证据缺失或重复",""))))</x:f>
      </x:c>
      <x:c r="AA190" s="16" t="str">
        <x:f>IF(A190="","",IF(AND(C190="研究",T190=1),D190,""))</x:f>
      </x:c>
    </x:row>
    <x:row r="191" ht="36" customHeight="1">
      <x:c r="A191" s="11"/>
      <x:c r="B191" s="11"/>
      <x:c r="C191" s="11"/>
      <x:c r="D191" s="11"/>
      <x:c r="E191" s="11"/>
      <x:c r="F191" s="11"/>
      <x:c r="G191" s="17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6" t="str">
        <x:f>IF(A191="","",IF(C191="研究",1,0))</x:f>
      </x:c>
      <x:c r="R191" s="16" t="str">
        <x:f>IF(OR(A191="",C191&lt;&gt;"研究",D191="",J191&lt;&gt;"已判定"),"",IF(COUNTIFS($D$6:D191,D191,$C$6:C191,"研究",$J$6:J191,"已判定")=1,1,0))</x:f>
      </x:c>
      <x:c r="S191" s="16" t="str">
        <x:f>IF(OR(A191="",C191&lt;&gt;"研究",D191="",J191&lt;&gt;"已判定"),"",IF(COUNTIFS($D$6:D191,D191,$B$6:B191,B191,$C$6:C191,"研究",$J$6:J191,"已判定")=1,1,0))</x:f>
      </x:c>
      <x:c r="T191" s="16" t="str">
        <x:f>IF(A191="","",IF(AND(D191&lt;&gt;"",J191="已判定",K191="是",L191="是",COUNTIF('笔记筛选'!$A$6:$A$35,E191)=1,COUNTIF('批次记录'!$A$6:$A$17,B191)=1,COUNTIF('证据索引'!$A$6:$A$105,F191)=1),IF(AND(INDEX('笔记筛选'!$O$6:$O$35,MATCH(E191,'笔记筛选'!$A$6:$A$35,0))=1,INDEX('证据索引'!$H$6:$H$105,MATCH(F191,'证据索引'!$A$6:$A$105,0))="可定位",INDEX('证据索引'!$F$6:$F$105,MATCH(F191,'证据索引'!$A$6:$A$105,0))="是",INDEX('证据索引'!$B$6:$B$105,MATCH(F191,'证据索引'!$A$6:$A$105,0))=E191),1,0),0))</x:f>
      </x:c>
      <x:c r="U191" s="16" t="str">
        <x:f>IF(R191="","",IF(AND(R191=1,COUNTIF($AA$6:$AA$205,D191)&gt;0),1,0))</x:f>
      </x:c>
      <x:c r="V191" s="16" t="str">
        <x:f>IF(R191="","",IF(AND(R191=1,COUNTIFS('问题评论关联'!$C$6:$C$205,D191,'问题评论关联'!$G$6:$G$205,1)&gt;0),1,0))</x:f>
      </x:c>
      <x:c r="W191" s="16" t="str">
        <x:f>IF(S191="","",IF(AND(S191=1,COUNTIFS('问题评论关联'!$C$6:$C$205,D191,'问题评论关联'!$G$6:$G$205,1)&gt;0),1,0))</x:f>
      </x:c>
      <x:c r="X191" s="16" t="str">
        <x:f>IF(A191="","",IF(AND(C191="研究",OR(D191="",J191&lt;&gt;"已判定")),1,0))</x:f>
      </x:c>
      <x:c r="Y191" s="16" t="str">
        <x:f>IF(A191="","",IF(COUNTIF('批次记录'!$A$6:$A$17,B191)&lt;&gt;1,"批次缺失或重复",IF(COUNTIF('笔记筛选'!$A$6:$A$35,E191)&lt;&gt;1,"笔记缺失或重复",IF(AND(K191="是",COUNTIF('证据索引'!$A$6:$A$105,F191)&lt;&gt;1),"证据缺失或重复",""))))</x:f>
      </x:c>
      <x:c r="AA191" s="16" t="str">
        <x:f>IF(A191="","",IF(AND(C191="研究",T191=1),D191,""))</x:f>
      </x:c>
    </x:row>
    <x:row r="192" ht="36" customHeight="1">
      <x:c r="A192" s="11"/>
      <x:c r="B192" s="11"/>
      <x:c r="C192" s="11"/>
      <x:c r="D192" s="11"/>
      <x:c r="E192" s="11"/>
      <x:c r="F192" s="11"/>
      <x:c r="G192" s="17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6" t="str">
        <x:f>IF(A192="","",IF(C192="研究",1,0))</x:f>
      </x:c>
      <x:c r="R192" s="16" t="str">
        <x:f>IF(OR(A192="",C192&lt;&gt;"研究",D192="",J192&lt;&gt;"已判定"),"",IF(COUNTIFS($D$6:D192,D192,$C$6:C192,"研究",$J$6:J192,"已判定")=1,1,0))</x:f>
      </x:c>
      <x:c r="S192" s="16" t="str">
        <x:f>IF(OR(A192="",C192&lt;&gt;"研究",D192="",J192&lt;&gt;"已判定"),"",IF(COUNTIFS($D$6:D192,D192,$B$6:B192,B192,$C$6:C192,"研究",$J$6:J192,"已判定")=1,1,0))</x:f>
      </x:c>
      <x:c r="T192" s="16" t="str">
        <x:f>IF(A192="","",IF(AND(D192&lt;&gt;"",J192="已判定",K192="是",L192="是",COUNTIF('笔记筛选'!$A$6:$A$35,E192)=1,COUNTIF('批次记录'!$A$6:$A$17,B192)=1,COUNTIF('证据索引'!$A$6:$A$105,F192)=1),IF(AND(INDEX('笔记筛选'!$O$6:$O$35,MATCH(E192,'笔记筛选'!$A$6:$A$35,0))=1,INDEX('证据索引'!$H$6:$H$105,MATCH(F192,'证据索引'!$A$6:$A$105,0))="可定位",INDEX('证据索引'!$F$6:$F$105,MATCH(F192,'证据索引'!$A$6:$A$105,0))="是",INDEX('证据索引'!$B$6:$B$105,MATCH(F192,'证据索引'!$A$6:$A$105,0))=E192),1,0),0))</x:f>
      </x:c>
      <x:c r="U192" s="16" t="str">
        <x:f>IF(R192="","",IF(AND(R192=1,COUNTIF($AA$6:$AA$205,D192)&gt;0),1,0))</x:f>
      </x:c>
      <x:c r="V192" s="16" t="str">
        <x:f>IF(R192="","",IF(AND(R192=1,COUNTIFS('问题评论关联'!$C$6:$C$205,D192,'问题评论关联'!$G$6:$G$205,1)&gt;0),1,0))</x:f>
      </x:c>
      <x:c r="W192" s="16" t="str">
        <x:f>IF(S192="","",IF(AND(S192=1,COUNTIFS('问题评论关联'!$C$6:$C$205,D192,'问题评论关联'!$G$6:$G$205,1)&gt;0),1,0))</x:f>
      </x:c>
      <x:c r="X192" s="16" t="str">
        <x:f>IF(A192="","",IF(AND(C192="研究",OR(D192="",J192&lt;&gt;"已判定")),1,0))</x:f>
      </x:c>
      <x:c r="Y192" s="16" t="str">
        <x:f>IF(A192="","",IF(COUNTIF('批次记录'!$A$6:$A$17,B192)&lt;&gt;1,"批次缺失或重复",IF(COUNTIF('笔记筛选'!$A$6:$A$35,E192)&lt;&gt;1,"笔记缺失或重复",IF(AND(K192="是",COUNTIF('证据索引'!$A$6:$A$105,F192)&lt;&gt;1),"证据缺失或重复",""))))</x:f>
      </x:c>
      <x:c r="AA192" s="16" t="str">
        <x:f>IF(A192="","",IF(AND(C192="研究",T192=1),D192,""))</x:f>
      </x:c>
    </x:row>
    <x:row r="193" ht="36" customHeight="1">
      <x:c r="A193" s="11"/>
      <x:c r="B193" s="11"/>
      <x:c r="C193" s="11"/>
      <x:c r="D193" s="11"/>
      <x:c r="E193" s="11"/>
      <x:c r="F193" s="11"/>
      <x:c r="G193" s="17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6" t="str">
        <x:f>IF(A193="","",IF(C193="研究",1,0))</x:f>
      </x:c>
      <x:c r="R193" s="16" t="str">
        <x:f>IF(OR(A193="",C193&lt;&gt;"研究",D193="",J193&lt;&gt;"已判定"),"",IF(COUNTIFS($D$6:D193,D193,$C$6:C193,"研究",$J$6:J193,"已判定")=1,1,0))</x:f>
      </x:c>
      <x:c r="S193" s="16" t="str">
        <x:f>IF(OR(A193="",C193&lt;&gt;"研究",D193="",J193&lt;&gt;"已判定"),"",IF(COUNTIFS($D$6:D193,D193,$B$6:B193,B193,$C$6:C193,"研究",$J$6:J193,"已判定")=1,1,0))</x:f>
      </x:c>
      <x:c r="T193" s="16" t="str">
        <x:f>IF(A193="","",IF(AND(D193&lt;&gt;"",J193="已判定",K193="是",L193="是",COUNTIF('笔记筛选'!$A$6:$A$35,E193)=1,COUNTIF('批次记录'!$A$6:$A$17,B193)=1,COUNTIF('证据索引'!$A$6:$A$105,F193)=1),IF(AND(INDEX('笔记筛选'!$O$6:$O$35,MATCH(E193,'笔记筛选'!$A$6:$A$35,0))=1,INDEX('证据索引'!$H$6:$H$105,MATCH(F193,'证据索引'!$A$6:$A$105,0))="可定位",INDEX('证据索引'!$F$6:$F$105,MATCH(F193,'证据索引'!$A$6:$A$105,0))="是",INDEX('证据索引'!$B$6:$B$105,MATCH(F193,'证据索引'!$A$6:$A$105,0))=E193),1,0),0))</x:f>
      </x:c>
      <x:c r="U193" s="16" t="str">
        <x:f>IF(R193="","",IF(AND(R193=1,COUNTIF($AA$6:$AA$205,D193)&gt;0),1,0))</x:f>
      </x:c>
      <x:c r="V193" s="16" t="str">
        <x:f>IF(R193="","",IF(AND(R193=1,COUNTIFS('问题评论关联'!$C$6:$C$205,D193,'问题评论关联'!$G$6:$G$205,1)&gt;0),1,0))</x:f>
      </x:c>
      <x:c r="W193" s="16" t="str">
        <x:f>IF(S193="","",IF(AND(S193=1,COUNTIFS('问题评论关联'!$C$6:$C$205,D193,'问题评论关联'!$G$6:$G$205,1)&gt;0),1,0))</x:f>
      </x:c>
      <x:c r="X193" s="16" t="str">
        <x:f>IF(A193="","",IF(AND(C193="研究",OR(D193="",J193&lt;&gt;"已判定")),1,0))</x:f>
      </x:c>
      <x:c r="Y193" s="16" t="str">
        <x:f>IF(A193="","",IF(COUNTIF('批次记录'!$A$6:$A$17,B193)&lt;&gt;1,"批次缺失或重复",IF(COUNTIF('笔记筛选'!$A$6:$A$35,E193)&lt;&gt;1,"笔记缺失或重复",IF(AND(K193="是",COUNTIF('证据索引'!$A$6:$A$105,F193)&lt;&gt;1),"证据缺失或重复",""))))</x:f>
      </x:c>
      <x:c r="AA193" s="16" t="str">
        <x:f>IF(A193="","",IF(AND(C193="研究",T193=1),D193,""))</x:f>
      </x:c>
    </x:row>
    <x:row r="194" ht="36" customHeight="1">
      <x:c r="A194" s="11"/>
      <x:c r="B194" s="11"/>
      <x:c r="C194" s="11"/>
      <x:c r="D194" s="11"/>
      <x:c r="E194" s="11"/>
      <x:c r="F194" s="11"/>
      <x:c r="G194" s="17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6" t="str">
        <x:f>IF(A194="","",IF(C194="研究",1,0))</x:f>
      </x:c>
      <x:c r="R194" s="16" t="str">
        <x:f>IF(OR(A194="",C194&lt;&gt;"研究",D194="",J194&lt;&gt;"已判定"),"",IF(COUNTIFS($D$6:D194,D194,$C$6:C194,"研究",$J$6:J194,"已判定")=1,1,0))</x:f>
      </x:c>
      <x:c r="S194" s="16" t="str">
        <x:f>IF(OR(A194="",C194&lt;&gt;"研究",D194="",J194&lt;&gt;"已判定"),"",IF(COUNTIFS($D$6:D194,D194,$B$6:B194,B194,$C$6:C194,"研究",$J$6:J194,"已判定")=1,1,0))</x:f>
      </x:c>
      <x:c r="T194" s="16" t="str">
        <x:f>IF(A194="","",IF(AND(D194&lt;&gt;"",J194="已判定",K194="是",L194="是",COUNTIF('笔记筛选'!$A$6:$A$35,E194)=1,COUNTIF('批次记录'!$A$6:$A$17,B194)=1,COUNTIF('证据索引'!$A$6:$A$105,F194)=1),IF(AND(INDEX('笔记筛选'!$O$6:$O$35,MATCH(E194,'笔记筛选'!$A$6:$A$35,0))=1,INDEX('证据索引'!$H$6:$H$105,MATCH(F194,'证据索引'!$A$6:$A$105,0))="可定位",INDEX('证据索引'!$F$6:$F$105,MATCH(F194,'证据索引'!$A$6:$A$105,0))="是",INDEX('证据索引'!$B$6:$B$105,MATCH(F194,'证据索引'!$A$6:$A$105,0))=E194),1,0),0))</x:f>
      </x:c>
      <x:c r="U194" s="16" t="str">
        <x:f>IF(R194="","",IF(AND(R194=1,COUNTIF($AA$6:$AA$205,D194)&gt;0),1,0))</x:f>
      </x:c>
      <x:c r="V194" s="16" t="str">
        <x:f>IF(R194="","",IF(AND(R194=1,COUNTIFS('问题评论关联'!$C$6:$C$205,D194,'问题评论关联'!$G$6:$G$205,1)&gt;0),1,0))</x:f>
      </x:c>
      <x:c r="W194" s="16" t="str">
        <x:f>IF(S194="","",IF(AND(S194=1,COUNTIFS('问题评论关联'!$C$6:$C$205,D194,'问题评论关联'!$G$6:$G$205,1)&gt;0),1,0))</x:f>
      </x:c>
      <x:c r="X194" s="16" t="str">
        <x:f>IF(A194="","",IF(AND(C194="研究",OR(D194="",J194&lt;&gt;"已判定")),1,0))</x:f>
      </x:c>
      <x:c r="Y194" s="16" t="str">
        <x:f>IF(A194="","",IF(COUNTIF('批次记录'!$A$6:$A$17,B194)&lt;&gt;1,"批次缺失或重复",IF(COUNTIF('笔记筛选'!$A$6:$A$35,E194)&lt;&gt;1,"笔记缺失或重复",IF(AND(K194="是",COUNTIF('证据索引'!$A$6:$A$105,F194)&lt;&gt;1),"证据缺失或重复",""))))</x:f>
      </x:c>
      <x:c r="AA194" s="16" t="str">
        <x:f>IF(A194="","",IF(AND(C194="研究",T194=1),D194,""))</x:f>
      </x:c>
    </x:row>
    <x:row r="195" ht="36" customHeight="1">
      <x:c r="A195" s="11"/>
      <x:c r="B195" s="11"/>
      <x:c r="C195" s="11"/>
      <x:c r="D195" s="11"/>
      <x:c r="E195" s="11"/>
      <x:c r="F195" s="11"/>
      <x:c r="G195" s="17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6" t="str">
        <x:f>IF(A195="","",IF(C195="研究",1,0))</x:f>
      </x:c>
      <x:c r="R195" s="16" t="str">
        <x:f>IF(OR(A195="",C195&lt;&gt;"研究",D195="",J195&lt;&gt;"已判定"),"",IF(COUNTIFS($D$6:D195,D195,$C$6:C195,"研究",$J$6:J195,"已判定")=1,1,0))</x:f>
      </x:c>
      <x:c r="S195" s="16" t="str">
        <x:f>IF(OR(A195="",C195&lt;&gt;"研究",D195="",J195&lt;&gt;"已判定"),"",IF(COUNTIFS($D$6:D195,D195,$B$6:B195,B195,$C$6:C195,"研究",$J$6:J195,"已判定")=1,1,0))</x:f>
      </x:c>
      <x:c r="T195" s="16" t="str">
        <x:f>IF(A195="","",IF(AND(D195&lt;&gt;"",J195="已判定",K195="是",L195="是",COUNTIF('笔记筛选'!$A$6:$A$35,E195)=1,COUNTIF('批次记录'!$A$6:$A$17,B195)=1,COUNTIF('证据索引'!$A$6:$A$105,F195)=1),IF(AND(INDEX('笔记筛选'!$O$6:$O$35,MATCH(E195,'笔记筛选'!$A$6:$A$35,0))=1,INDEX('证据索引'!$H$6:$H$105,MATCH(F195,'证据索引'!$A$6:$A$105,0))="可定位",INDEX('证据索引'!$F$6:$F$105,MATCH(F195,'证据索引'!$A$6:$A$105,0))="是",INDEX('证据索引'!$B$6:$B$105,MATCH(F195,'证据索引'!$A$6:$A$105,0))=E195),1,0),0))</x:f>
      </x:c>
      <x:c r="U195" s="16" t="str">
        <x:f>IF(R195="","",IF(AND(R195=1,COUNTIF($AA$6:$AA$205,D195)&gt;0),1,0))</x:f>
      </x:c>
      <x:c r="V195" s="16" t="str">
        <x:f>IF(R195="","",IF(AND(R195=1,COUNTIFS('问题评论关联'!$C$6:$C$205,D195,'问题评论关联'!$G$6:$G$205,1)&gt;0),1,0))</x:f>
      </x:c>
      <x:c r="W195" s="16" t="str">
        <x:f>IF(S195="","",IF(AND(S195=1,COUNTIFS('问题评论关联'!$C$6:$C$205,D195,'问题评论关联'!$G$6:$G$205,1)&gt;0),1,0))</x:f>
      </x:c>
      <x:c r="X195" s="16" t="str">
        <x:f>IF(A195="","",IF(AND(C195="研究",OR(D195="",J195&lt;&gt;"已判定")),1,0))</x:f>
      </x:c>
      <x:c r="Y195" s="16" t="str">
        <x:f>IF(A195="","",IF(COUNTIF('批次记录'!$A$6:$A$17,B195)&lt;&gt;1,"批次缺失或重复",IF(COUNTIF('笔记筛选'!$A$6:$A$35,E195)&lt;&gt;1,"笔记缺失或重复",IF(AND(K195="是",COUNTIF('证据索引'!$A$6:$A$105,F195)&lt;&gt;1),"证据缺失或重复",""))))</x:f>
      </x:c>
      <x:c r="AA195" s="16" t="str">
        <x:f>IF(A195="","",IF(AND(C195="研究",T195=1),D195,""))</x:f>
      </x:c>
    </x:row>
    <x:row r="196" ht="36" customHeight="1">
      <x:c r="A196" s="11"/>
      <x:c r="B196" s="11"/>
      <x:c r="C196" s="11"/>
      <x:c r="D196" s="11"/>
      <x:c r="E196" s="11"/>
      <x:c r="F196" s="11"/>
      <x:c r="G196" s="17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6" t="str">
        <x:f>IF(A196="","",IF(C196="研究",1,0))</x:f>
      </x:c>
      <x:c r="R196" s="16" t="str">
        <x:f>IF(OR(A196="",C196&lt;&gt;"研究",D196="",J196&lt;&gt;"已判定"),"",IF(COUNTIFS($D$6:D196,D196,$C$6:C196,"研究",$J$6:J196,"已判定")=1,1,0))</x:f>
      </x:c>
      <x:c r="S196" s="16" t="str">
        <x:f>IF(OR(A196="",C196&lt;&gt;"研究",D196="",J196&lt;&gt;"已判定"),"",IF(COUNTIFS($D$6:D196,D196,$B$6:B196,B196,$C$6:C196,"研究",$J$6:J196,"已判定")=1,1,0))</x:f>
      </x:c>
      <x:c r="T196" s="16" t="str">
        <x:f>IF(A196="","",IF(AND(D196&lt;&gt;"",J196="已判定",K196="是",L196="是",COUNTIF('笔记筛选'!$A$6:$A$35,E196)=1,COUNTIF('批次记录'!$A$6:$A$17,B196)=1,COUNTIF('证据索引'!$A$6:$A$105,F196)=1),IF(AND(INDEX('笔记筛选'!$O$6:$O$35,MATCH(E196,'笔记筛选'!$A$6:$A$35,0))=1,INDEX('证据索引'!$H$6:$H$105,MATCH(F196,'证据索引'!$A$6:$A$105,0))="可定位",INDEX('证据索引'!$F$6:$F$105,MATCH(F196,'证据索引'!$A$6:$A$105,0))="是",INDEX('证据索引'!$B$6:$B$105,MATCH(F196,'证据索引'!$A$6:$A$105,0))=E196),1,0),0))</x:f>
      </x:c>
      <x:c r="U196" s="16" t="str">
        <x:f>IF(R196="","",IF(AND(R196=1,COUNTIF($AA$6:$AA$205,D196)&gt;0),1,0))</x:f>
      </x:c>
      <x:c r="V196" s="16" t="str">
        <x:f>IF(R196="","",IF(AND(R196=1,COUNTIFS('问题评论关联'!$C$6:$C$205,D196,'问题评论关联'!$G$6:$G$205,1)&gt;0),1,0))</x:f>
      </x:c>
      <x:c r="W196" s="16" t="str">
        <x:f>IF(S196="","",IF(AND(S196=1,COUNTIFS('问题评论关联'!$C$6:$C$205,D196,'问题评论关联'!$G$6:$G$205,1)&gt;0),1,0))</x:f>
      </x:c>
      <x:c r="X196" s="16" t="str">
        <x:f>IF(A196="","",IF(AND(C196="研究",OR(D196="",J196&lt;&gt;"已判定")),1,0))</x:f>
      </x:c>
      <x:c r="Y196" s="16" t="str">
        <x:f>IF(A196="","",IF(COUNTIF('批次记录'!$A$6:$A$17,B196)&lt;&gt;1,"批次缺失或重复",IF(COUNTIF('笔记筛选'!$A$6:$A$35,E196)&lt;&gt;1,"笔记缺失或重复",IF(AND(K196="是",COUNTIF('证据索引'!$A$6:$A$105,F196)&lt;&gt;1),"证据缺失或重复",""))))</x:f>
      </x:c>
      <x:c r="AA196" s="16" t="str">
        <x:f>IF(A196="","",IF(AND(C196="研究",T196=1),D196,""))</x:f>
      </x:c>
    </x:row>
    <x:row r="197" ht="36" customHeight="1">
      <x:c r="A197" s="11"/>
      <x:c r="B197" s="11"/>
      <x:c r="C197" s="11"/>
      <x:c r="D197" s="11"/>
      <x:c r="E197" s="11"/>
      <x:c r="F197" s="11"/>
      <x:c r="G197" s="17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6" t="str">
        <x:f>IF(A197="","",IF(C197="研究",1,0))</x:f>
      </x:c>
      <x:c r="R197" s="16" t="str">
        <x:f>IF(OR(A197="",C197&lt;&gt;"研究",D197="",J197&lt;&gt;"已判定"),"",IF(COUNTIFS($D$6:D197,D197,$C$6:C197,"研究",$J$6:J197,"已判定")=1,1,0))</x:f>
      </x:c>
      <x:c r="S197" s="16" t="str">
        <x:f>IF(OR(A197="",C197&lt;&gt;"研究",D197="",J197&lt;&gt;"已判定"),"",IF(COUNTIFS($D$6:D197,D197,$B$6:B197,B197,$C$6:C197,"研究",$J$6:J197,"已判定")=1,1,0))</x:f>
      </x:c>
      <x:c r="T197" s="16" t="str">
        <x:f>IF(A197="","",IF(AND(D197&lt;&gt;"",J197="已判定",K197="是",L197="是",COUNTIF('笔记筛选'!$A$6:$A$35,E197)=1,COUNTIF('批次记录'!$A$6:$A$17,B197)=1,COUNTIF('证据索引'!$A$6:$A$105,F197)=1),IF(AND(INDEX('笔记筛选'!$O$6:$O$35,MATCH(E197,'笔记筛选'!$A$6:$A$35,0))=1,INDEX('证据索引'!$H$6:$H$105,MATCH(F197,'证据索引'!$A$6:$A$105,0))="可定位",INDEX('证据索引'!$F$6:$F$105,MATCH(F197,'证据索引'!$A$6:$A$105,0))="是",INDEX('证据索引'!$B$6:$B$105,MATCH(F197,'证据索引'!$A$6:$A$105,0))=E197),1,0),0))</x:f>
      </x:c>
      <x:c r="U197" s="16" t="str">
        <x:f>IF(R197="","",IF(AND(R197=1,COUNTIF($AA$6:$AA$205,D197)&gt;0),1,0))</x:f>
      </x:c>
      <x:c r="V197" s="16" t="str">
        <x:f>IF(R197="","",IF(AND(R197=1,COUNTIFS('问题评论关联'!$C$6:$C$205,D197,'问题评论关联'!$G$6:$G$205,1)&gt;0),1,0))</x:f>
      </x:c>
      <x:c r="W197" s="16" t="str">
        <x:f>IF(S197="","",IF(AND(S197=1,COUNTIFS('问题评论关联'!$C$6:$C$205,D197,'问题评论关联'!$G$6:$G$205,1)&gt;0),1,0))</x:f>
      </x:c>
      <x:c r="X197" s="16" t="str">
        <x:f>IF(A197="","",IF(AND(C197="研究",OR(D197="",J197&lt;&gt;"已判定")),1,0))</x:f>
      </x:c>
      <x:c r="Y197" s="16" t="str">
        <x:f>IF(A197="","",IF(COUNTIF('批次记录'!$A$6:$A$17,B197)&lt;&gt;1,"批次缺失或重复",IF(COUNTIF('笔记筛选'!$A$6:$A$35,E197)&lt;&gt;1,"笔记缺失或重复",IF(AND(K197="是",COUNTIF('证据索引'!$A$6:$A$105,F197)&lt;&gt;1),"证据缺失或重复",""))))</x:f>
      </x:c>
      <x:c r="AA197" s="16" t="str">
        <x:f>IF(A197="","",IF(AND(C197="研究",T197=1),D197,""))</x:f>
      </x:c>
    </x:row>
    <x:row r="198" ht="36" customHeight="1">
      <x:c r="A198" s="11"/>
      <x:c r="B198" s="11"/>
      <x:c r="C198" s="11"/>
      <x:c r="D198" s="11"/>
      <x:c r="E198" s="11"/>
      <x:c r="F198" s="11"/>
      <x:c r="G198" s="17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6" t="str">
        <x:f>IF(A198="","",IF(C198="研究",1,0))</x:f>
      </x:c>
      <x:c r="R198" s="16" t="str">
        <x:f>IF(OR(A198="",C198&lt;&gt;"研究",D198="",J198&lt;&gt;"已判定"),"",IF(COUNTIFS($D$6:D198,D198,$C$6:C198,"研究",$J$6:J198,"已判定")=1,1,0))</x:f>
      </x:c>
      <x:c r="S198" s="16" t="str">
        <x:f>IF(OR(A198="",C198&lt;&gt;"研究",D198="",J198&lt;&gt;"已判定"),"",IF(COUNTIFS($D$6:D198,D198,$B$6:B198,B198,$C$6:C198,"研究",$J$6:J198,"已判定")=1,1,0))</x:f>
      </x:c>
      <x:c r="T198" s="16" t="str">
        <x:f>IF(A198="","",IF(AND(D198&lt;&gt;"",J198="已判定",K198="是",L198="是",COUNTIF('笔记筛选'!$A$6:$A$35,E198)=1,COUNTIF('批次记录'!$A$6:$A$17,B198)=1,COUNTIF('证据索引'!$A$6:$A$105,F198)=1),IF(AND(INDEX('笔记筛选'!$O$6:$O$35,MATCH(E198,'笔记筛选'!$A$6:$A$35,0))=1,INDEX('证据索引'!$H$6:$H$105,MATCH(F198,'证据索引'!$A$6:$A$105,0))="可定位",INDEX('证据索引'!$F$6:$F$105,MATCH(F198,'证据索引'!$A$6:$A$105,0))="是",INDEX('证据索引'!$B$6:$B$105,MATCH(F198,'证据索引'!$A$6:$A$105,0))=E198),1,0),0))</x:f>
      </x:c>
      <x:c r="U198" s="16" t="str">
        <x:f>IF(R198="","",IF(AND(R198=1,COUNTIF($AA$6:$AA$205,D198)&gt;0),1,0))</x:f>
      </x:c>
      <x:c r="V198" s="16" t="str">
        <x:f>IF(R198="","",IF(AND(R198=1,COUNTIFS('问题评论关联'!$C$6:$C$205,D198,'问题评论关联'!$G$6:$G$205,1)&gt;0),1,0))</x:f>
      </x:c>
      <x:c r="W198" s="16" t="str">
        <x:f>IF(S198="","",IF(AND(S198=1,COUNTIFS('问题评论关联'!$C$6:$C$205,D198,'问题评论关联'!$G$6:$G$205,1)&gt;0),1,0))</x:f>
      </x:c>
      <x:c r="X198" s="16" t="str">
        <x:f>IF(A198="","",IF(AND(C198="研究",OR(D198="",J198&lt;&gt;"已判定")),1,0))</x:f>
      </x:c>
      <x:c r="Y198" s="16" t="str">
        <x:f>IF(A198="","",IF(COUNTIF('批次记录'!$A$6:$A$17,B198)&lt;&gt;1,"批次缺失或重复",IF(COUNTIF('笔记筛选'!$A$6:$A$35,E198)&lt;&gt;1,"笔记缺失或重复",IF(AND(K198="是",COUNTIF('证据索引'!$A$6:$A$105,F198)&lt;&gt;1),"证据缺失或重复",""))))</x:f>
      </x:c>
      <x:c r="AA198" s="16" t="str">
        <x:f>IF(A198="","",IF(AND(C198="研究",T198=1),D198,""))</x:f>
      </x:c>
    </x:row>
    <x:row r="199" ht="36" customHeight="1">
      <x:c r="A199" s="11"/>
      <x:c r="B199" s="11"/>
      <x:c r="C199" s="11"/>
      <x:c r="D199" s="11"/>
      <x:c r="E199" s="11"/>
      <x:c r="F199" s="11"/>
      <x:c r="G199" s="17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6" t="str">
        <x:f>IF(A199="","",IF(C199="研究",1,0))</x:f>
      </x:c>
      <x:c r="R199" s="16" t="str">
        <x:f>IF(OR(A199="",C199&lt;&gt;"研究",D199="",J199&lt;&gt;"已判定"),"",IF(COUNTIFS($D$6:D199,D199,$C$6:C199,"研究",$J$6:J199,"已判定")=1,1,0))</x:f>
      </x:c>
      <x:c r="S199" s="16" t="str">
        <x:f>IF(OR(A199="",C199&lt;&gt;"研究",D199="",J199&lt;&gt;"已判定"),"",IF(COUNTIFS($D$6:D199,D199,$B$6:B199,B199,$C$6:C199,"研究",$J$6:J199,"已判定")=1,1,0))</x:f>
      </x:c>
      <x:c r="T199" s="16" t="str">
        <x:f>IF(A199="","",IF(AND(D199&lt;&gt;"",J199="已判定",K199="是",L199="是",COUNTIF('笔记筛选'!$A$6:$A$35,E199)=1,COUNTIF('批次记录'!$A$6:$A$17,B199)=1,COUNTIF('证据索引'!$A$6:$A$105,F199)=1),IF(AND(INDEX('笔记筛选'!$O$6:$O$35,MATCH(E199,'笔记筛选'!$A$6:$A$35,0))=1,INDEX('证据索引'!$H$6:$H$105,MATCH(F199,'证据索引'!$A$6:$A$105,0))="可定位",INDEX('证据索引'!$F$6:$F$105,MATCH(F199,'证据索引'!$A$6:$A$105,0))="是",INDEX('证据索引'!$B$6:$B$105,MATCH(F199,'证据索引'!$A$6:$A$105,0))=E199),1,0),0))</x:f>
      </x:c>
      <x:c r="U199" s="16" t="str">
        <x:f>IF(R199="","",IF(AND(R199=1,COUNTIF($AA$6:$AA$205,D199)&gt;0),1,0))</x:f>
      </x:c>
      <x:c r="V199" s="16" t="str">
        <x:f>IF(R199="","",IF(AND(R199=1,COUNTIFS('问题评论关联'!$C$6:$C$205,D199,'问题评论关联'!$G$6:$G$205,1)&gt;0),1,0))</x:f>
      </x:c>
      <x:c r="W199" s="16" t="str">
        <x:f>IF(S199="","",IF(AND(S199=1,COUNTIFS('问题评论关联'!$C$6:$C$205,D199,'问题评论关联'!$G$6:$G$205,1)&gt;0),1,0))</x:f>
      </x:c>
      <x:c r="X199" s="16" t="str">
        <x:f>IF(A199="","",IF(AND(C199="研究",OR(D199="",J199&lt;&gt;"已判定")),1,0))</x:f>
      </x:c>
      <x:c r="Y199" s="16" t="str">
        <x:f>IF(A199="","",IF(COUNTIF('批次记录'!$A$6:$A$17,B199)&lt;&gt;1,"批次缺失或重复",IF(COUNTIF('笔记筛选'!$A$6:$A$35,E199)&lt;&gt;1,"笔记缺失或重复",IF(AND(K199="是",COUNTIF('证据索引'!$A$6:$A$105,F199)&lt;&gt;1),"证据缺失或重复",""))))</x:f>
      </x:c>
      <x:c r="AA199" s="16" t="str">
        <x:f>IF(A199="","",IF(AND(C199="研究",T199=1),D199,""))</x:f>
      </x:c>
    </x:row>
    <x:row r="200" ht="36" customHeight="1">
      <x:c r="A200" s="11"/>
      <x:c r="B200" s="11"/>
      <x:c r="C200" s="11"/>
      <x:c r="D200" s="11"/>
      <x:c r="E200" s="11"/>
      <x:c r="F200" s="11"/>
      <x:c r="G200" s="17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6" t="str">
        <x:f>IF(A200="","",IF(C200="研究",1,0))</x:f>
      </x:c>
      <x:c r="R200" s="16" t="str">
        <x:f>IF(OR(A200="",C200&lt;&gt;"研究",D200="",J200&lt;&gt;"已判定"),"",IF(COUNTIFS($D$6:D200,D200,$C$6:C200,"研究",$J$6:J200,"已判定")=1,1,0))</x:f>
      </x:c>
      <x:c r="S200" s="16" t="str">
        <x:f>IF(OR(A200="",C200&lt;&gt;"研究",D200="",J200&lt;&gt;"已判定"),"",IF(COUNTIFS($D$6:D200,D200,$B$6:B200,B200,$C$6:C200,"研究",$J$6:J200,"已判定")=1,1,0))</x:f>
      </x:c>
      <x:c r="T200" s="16" t="str">
        <x:f>IF(A200="","",IF(AND(D200&lt;&gt;"",J200="已判定",K200="是",L200="是",COUNTIF('笔记筛选'!$A$6:$A$35,E200)=1,COUNTIF('批次记录'!$A$6:$A$17,B200)=1,COUNTIF('证据索引'!$A$6:$A$105,F200)=1),IF(AND(INDEX('笔记筛选'!$O$6:$O$35,MATCH(E200,'笔记筛选'!$A$6:$A$35,0))=1,INDEX('证据索引'!$H$6:$H$105,MATCH(F200,'证据索引'!$A$6:$A$105,0))="可定位",INDEX('证据索引'!$F$6:$F$105,MATCH(F200,'证据索引'!$A$6:$A$105,0))="是",INDEX('证据索引'!$B$6:$B$105,MATCH(F200,'证据索引'!$A$6:$A$105,0))=E200),1,0),0))</x:f>
      </x:c>
      <x:c r="U200" s="16" t="str">
        <x:f>IF(R200="","",IF(AND(R200=1,COUNTIF($AA$6:$AA$205,D200)&gt;0),1,0))</x:f>
      </x:c>
      <x:c r="V200" s="16" t="str">
        <x:f>IF(R200="","",IF(AND(R200=1,COUNTIFS('问题评论关联'!$C$6:$C$205,D200,'问题评论关联'!$G$6:$G$205,1)&gt;0),1,0))</x:f>
      </x:c>
      <x:c r="W200" s="16" t="str">
        <x:f>IF(S200="","",IF(AND(S200=1,COUNTIFS('问题评论关联'!$C$6:$C$205,D200,'问题评论关联'!$G$6:$G$205,1)&gt;0),1,0))</x:f>
      </x:c>
      <x:c r="X200" s="16" t="str">
        <x:f>IF(A200="","",IF(AND(C200="研究",OR(D200="",J200&lt;&gt;"已判定")),1,0))</x:f>
      </x:c>
      <x:c r="Y200" s="16" t="str">
        <x:f>IF(A200="","",IF(COUNTIF('批次记录'!$A$6:$A$17,B200)&lt;&gt;1,"批次缺失或重复",IF(COUNTIF('笔记筛选'!$A$6:$A$35,E200)&lt;&gt;1,"笔记缺失或重复",IF(AND(K200="是",COUNTIF('证据索引'!$A$6:$A$105,F200)&lt;&gt;1),"证据缺失或重复",""))))</x:f>
      </x:c>
      <x:c r="AA200" s="16" t="str">
        <x:f>IF(A200="","",IF(AND(C200="研究",T200=1),D200,""))</x:f>
      </x:c>
    </x:row>
    <x:row r="201" ht="36" customHeight="1">
      <x:c r="A201" s="11"/>
      <x:c r="B201" s="11"/>
      <x:c r="C201" s="11"/>
      <x:c r="D201" s="11"/>
      <x:c r="E201" s="11"/>
      <x:c r="F201" s="11"/>
      <x:c r="G201" s="17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6" t="str">
        <x:f>IF(A201="","",IF(C201="研究",1,0))</x:f>
      </x:c>
      <x:c r="R201" s="16" t="str">
        <x:f>IF(OR(A201="",C201&lt;&gt;"研究",D201="",J201&lt;&gt;"已判定"),"",IF(COUNTIFS($D$6:D201,D201,$C$6:C201,"研究",$J$6:J201,"已判定")=1,1,0))</x:f>
      </x:c>
      <x:c r="S201" s="16" t="str">
        <x:f>IF(OR(A201="",C201&lt;&gt;"研究",D201="",J201&lt;&gt;"已判定"),"",IF(COUNTIFS($D$6:D201,D201,$B$6:B201,B201,$C$6:C201,"研究",$J$6:J201,"已判定")=1,1,0))</x:f>
      </x:c>
      <x:c r="T201" s="16" t="str">
        <x:f>IF(A201="","",IF(AND(D201&lt;&gt;"",J201="已判定",K201="是",L201="是",COUNTIF('笔记筛选'!$A$6:$A$35,E201)=1,COUNTIF('批次记录'!$A$6:$A$17,B201)=1,COUNTIF('证据索引'!$A$6:$A$105,F201)=1),IF(AND(INDEX('笔记筛选'!$O$6:$O$35,MATCH(E201,'笔记筛选'!$A$6:$A$35,0))=1,INDEX('证据索引'!$H$6:$H$105,MATCH(F201,'证据索引'!$A$6:$A$105,0))="可定位",INDEX('证据索引'!$F$6:$F$105,MATCH(F201,'证据索引'!$A$6:$A$105,0))="是",INDEX('证据索引'!$B$6:$B$105,MATCH(F201,'证据索引'!$A$6:$A$105,0))=E201),1,0),0))</x:f>
      </x:c>
      <x:c r="U201" s="16" t="str">
        <x:f>IF(R201="","",IF(AND(R201=1,COUNTIF($AA$6:$AA$205,D201)&gt;0),1,0))</x:f>
      </x:c>
      <x:c r="V201" s="16" t="str">
        <x:f>IF(R201="","",IF(AND(R201=1,COUNTIFS('问题评论关联'!$C$6:$C$205,D201,'问题评论关联'!$G$6:$G$205,1)&gt;0),1,0))</x:f>
      </x:c>
      <x:c r="W201" s="16" t="str">
        <x:f>IF(S201="","",IF(AND(S201=1,COUNTIFS('问题评论关联'!$C$6:$C$205,D201,'问题评论关联'!$G$6:$G$205,1)&gt;0),1,0))</x:f>
      </x:c>
      <x:c r="X201" s="16" t="str">
        <x:f>IF(A201="","",IF(AND(C201="研究",OR(D201="",J201&lt;&gt;"已判定")),1,0))</x:f>
      </x:c>
      <x:c r="Y201" s="16" t="str">
        <x:f>IF(A201="","",IF(COUNTIF('批次记录'!$A$6:$A$17,B201)&lt;&gt;1,"批次缺失或重复",IF(COUNTIF('笔记筛选'!$A$6:$A$35,E201)&lt;&gt;1,"笔记缺失或重复",IF(AND(K201="是",COUNTIF('证据索引'!$A$6:$A$105,F201)&lt;&gt;1),"证据缺失或重复",""))))</x:f>
      </x:c>
      <x:c r="AA201" s="16" t="str">
        <x:f>IF(A201="","",IF(AND(C201="研究",T201=1),D201,""))</x:f>
      </x:c>
    </x:row>
    <x:row r="202" ht="36" customHeight="1">
      <x:c r="A202" s="11"/>
      <x:c r="B202" s="11"/>
      <x:c r="C202" s="11"/>
      <x:c r="D202" s="11"/>
      <x:c r="E202" s="11"/>
      <x:c r="F202" s="11"/>
      <x:c r="G202" s="17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6" t="str">
        <x:f>IF(A202="","",IF(C202="研究",1,0))</x:f>
      </x:c>
      <x:c r="R202" s="16" t="str">
        <x:f>IF(OR(A202="",C202&lt;&gt;"研究",D202="",J202&lt;&gt;"已判定"),"",IF(COUNTIFS($D$6:D202,D202,$C$6:C202,"研究",$J$6:J202,"已判定")=1,1,0))</x:f>
      </x:c>
      <x:c r="S202" s="16" t="str">
        <x:f>IF(OR(A202="",C202&lt;&gt;"研究",D202="",J202&lt;&gt;"已判定"),"",IF(COUNTIFS($D$6:D202,D202,$B$6:B202,B202,$C$6:C202,"研究",$J$6:J202,"已判定")=1,1,0))</x:f>
      </x:c>
      <x:c r="T202" s="16" t="str">
        <x:f>IF(A202="","",IF(AND(D202&lt;&gt;"",J202="已判定",K202="是",L202="是",COUNTIF('笔记筛选'!$A$6:$A$35,E202)=1,COUNTIF('批次记录'!$A$6:$A$17,B202)=1,COUNTIF('证据索引'!$A$6:$A$105,F202)=1),IF(AND(INDEX('笔记筛选'!$O$6:$O$35,MATCH(E202,'笔记筛选'!$A$6:$A$35,0))=1,INDEX('证据索引'!$H$6:$H$105,MATCH(F202,'证据索引'!$A$6:$A$105,0))="可定位",INDEX('证据索引'!$F$6:$F$105,MATCH(F202,'证据索引'!$A$6:$A$105,0))="是",INDEX('证据索引'!$B$6:$B$105,MATCH(F202,'证据索引'!$A$6:$A$105,0))=E202),1,0),0))</x:f>
      </x:c>
      <x:c r="U202" s="16" t="str">
        <x:f>IF(R202="","",IF(AND(R202=1,COUNTIF($AA$6:$AA$205,D202)&gt;0),1,0))</x:f>
      </x:c>
      <x:c r="V202" s="16" t="str">
        <x:f>IF(R202="","",IF(AND(R202=1,COUNTIFS('问题评论关联'!$C$6:$C$205,D202,'问题评论关联'!$G$6:$G$205,1)&gt;0),1,0))</x:f>
      </x:c>
      <x:c r="W202" s="16" t="str">
        <x:f>IF(S202="","",IF(AND(S202=1,COUNTIFS('问题评论关联'!$C$6:$C$205,D202,'问题评论关联'!$G$6:$G$205,1)&gt;0),1,0))</x:f>
      </x:c>
      <x:c r="X202" s="16" t="str">
        <x:f>IF(A202="","",IF(AND(C202="研究",OR(D202="",J202&lt;&gt;"已判定")),1,0))</x:f>
      </x:c>
      <x:c r="Y202" s="16" t="str">
        <x:f>IF(A202="","",IF(COUNTIF('批次记录'!$A$6:$A$17,B202)&lt;&gt;1,"批次缺失或重复",IF(COUNTIF('笔记筛选'!$A$6:$A$35,E202)&lt;&gt;1,"笔记缺失或重复",IF(AND(K202="是",COUNTIF('证据索引'!$A$6:$A$105,F202)&lt;&gt;1),"证据缺失或重复",""))))</x:f>
      </x:c>
      <x:c r="AA202" s="16" t="str">
        <x:f>IF(A202="","",IF(AND(C202="研究",T202=1),D202,""))</x:f>
      </x:c>
    </x:row>
    <x:row r="203" ht="36" customHeight="1">
      <x:c r="A203" s="11"/>
      <x:c r="B203" s="11"/>
      <x:c r="C203" s="11"/>
      <x:c r="D203" s="11"/>
      <x:c r="E203" s="11"/>
      <x:c r="F203" s="11"/>
      <x:c r="G203" s="17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6" t="str">
        <x:f>IF(A203="","",IF(C203="研究",1,0))</x:f>
      </x:c>
      <x:c r="R203" s="16" t="str">
        <x:f>IF(OR(A203="",C203&lt;&gt;"研究",D203="",J203&lt;&gt;"已判定"),"",IF(COUNTIFS($D$6:D203,D203,$C$6:C203,"研究",$J$6:J203,"已判定")=1,1,0))</x:f>
      </x:c>
      <x:c r="S203" s="16" t="str">
        <x:f>IF(OR(A203="",C203&lt;&gt;"研究",D203="",J203&lt;&gt;"已判定"),"",IF(COUNTIFS($D$6:D203,D203,$B$6:B203,B203,$C$6:C203,"研究",$J$6:J203,"已判定")=1,1,0))</x:f>
      </x:c>
      <x:c r="T203" s="16" t="str">
        <x:f>IF(A203="","",IF(AND(D203&lt;&gt;"",J203="已判定",K203="是",L203="是",COUNTIF('笔记筛选'!$A$6:$A$35,E203)=1,COUNTIF('批次记录'!$A$6:$A$17,B203)=1,COUNTIF('证据索引'!$A$6:$A$105,F203)=1),IF(AND(INDEX('笔记筛选'!$O$6:$O$35,MATCH(E203,'笔记筛选'!$A$6:$A$35,0))=1,INDEX('证据索引'!$H$6:$H$105,MATCH(F203,'证据索引'!$A$6:$A$105,0))="可定位",INDEX('证据索引'!$F$6:$F$105,MATCH(F203,'证据索引'!$A$6:$A$105,0))="是",INDEX('证据索引'!$B$6:$B$105,MATCH(F203,'证据索引'!$A$6:$A$105,0))=E203),1,0),0))</x:f>
      </x:c>
      <x:c r="U203" s="16" t="str">
        <x:f>IF(R203="","",IF(AND(R203=1,COUNTIF($AA$6:$AA$205,D203)&gt;0),1,0))</x:f>
      </x:c>
      <x:c r="V203" s="16" t="str">
        <x:f>IF(R203="","",IF(AND(R203=1,COUNTIFS('问题评论关联'!$C$6:$C$205,D203,'问题评论关联'!$G$6:$G$205,1)&gt;0),1,0))</x:f>
      </x:c>
      <x:c r="W203" s="16" t="str">
        <x:f>IF(S203="","",IF(AND(S203=1,COUNTIFS('问题评论关联'!$C$6:$C$205,D203,'问题评论关联'!$G$6:$G$205,1)&gt;0),1,0))</x:f>
      </x:c>
      <x:c r="X203" s="16" t="str">
        <x:f>IF(A203="","",IF(AND(C203="研究",OR(D203="",J203&lt;&gt;"已判定")),1,0))</x:f>
      </x:c>
      <x:c r="Y203" s="16" t="str">
        <x:f>IF(A203="","",IF(COUNTIF('批次记录'!$A$6:$A$17,B203)&lt;&gt;1,"批次缺失或重复",IF(COUNTIF('笔记筛选'!$A$6:$A$35,E203)&lt;&gt;1,"笔记缺失或重复",IF(AND(K203="是",COUNTIF('证据索引'!$A$6:$A$105,F203)&lt;&gt;1),"证据缺失或重复",""))))</x:f>
      </x:c>
      <x:c r="AA203" s="16" t="str">
        <x:f>IF(A203="","",IF(AND(C203="研究",T203=1),D203,""))</x:f>
      </x:c>
    </x:row>
    <x:row r="204" ht="36" customHeight="1">
      <x:c r="A204" s="11"/>
      <x:c r="B204" s="11"/>
      <x:c r="C204" s="11"/>
      <x:c r="D204" s="11"/>
      <x:c r="E204" s="11"/>
      <x:c r="F204" s="11"/>
      <x:c r="G204" s="17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6" t="str">
        <x:f>IF(A204="","",IF(C204="研究",1,0))</x:f>
      </x:c>
      <x:c r="R204" s="16" t="str">
        <x:f>IF(OR(A204="",C204&lt;&gt;"研究",D204="",J204&lt;&gt;"已判定"),"",IF(COUNTIFS($D$6:D204,D204,$C$6:C204,"研究",$J$6:J204,"已判定")=1,1,0))</x:f>
      </x:c>
      <x:c r="S204" s="16" t="str">
        <x:f>IF(OR(A204="",C204&lt;&gt;"研究",D204="",J204&lt;&gt;"已判定"),"",IF(COUNTIFS($D$6:D204,D204,$B$6:B204,B204,$C$6:C204,"研究",$J$6:J204,"已判定")=1,1,0))</x:f>
      </x:c>
      <x:c r="T204" s="16" t="str">
        <x:f>IF(A204="","",IF(AND(D204&lt;&gt;"",J204="已判定",K204="是",L204="是",COUNTIF('笔记筛选'!$A$6:$A$35,E204)=1,COUNTIF('批次记录'!$A$6:$A$17,B204)=1,COUNTIF('证据索引'!$A$6:$A$105,F204)=1),IF(AND(INDEX('笔记筛选'!$O$6:$O$35,MATCH(E204,'笔记筛选'!$A$6:$A$35,0))=1,INDEX('证据索引'!$H$6:$H$105,MATCH(F204,'证据索引'!$A$6:$A$105,0))="可定位",INDEX('证据索引'!$F$6:$F$105,MATCH(F204,'证据索引'!$A$6:$A$105,0))="是",INDEX('证据索引'!$B$6:$B$105,MATCH(F204,'证据索引'!$A$6:$A$105,0))=E204),1,0),0))</x:f>
      </x:c>
      <x:c r="U204" s="16" t="str">
        <x:f>IF(R204="","",IF(AND(R204=1,COUNTIF($AA$6:$AA$205,D204)&gt;0),1,0))</x:f>
      </x:c>
      <x:c r="V204" s="16" t="str">
        <x:f>IF(R204="","",IF(AND(R204=1,COUNTIFS('问题评论关联'!$C$6:$C$205,D204,'问题评论关联'!$G$6:$G$205,1)&gt;0),1,0))</x:f>
      </x:c>
      <x:c r="W204" s="16" t="str">
        <x:f>IF(S204="","",IF(AND(S204=1,COUNTIFS('问题评论关联'!$C$6:$C$205,D204,'问题评论关联'!$G$6:$G$205,1)&gt;0),1,0))</x:f>
      </x:c>
      <x:c r="X204" s="16" t="str">
        <x:f>IF(A204="","",IF(AND(C204="研究",OR(D204="",J204&lt;&gt;"已判定")),1,0))</x:f>
      </x:c>
      <x:c r="Y204" s="16" t="str">
        <x:f>IF(A204="","",IF(COUNTIF('批次记录'!$A$6:$A$17,B204)&lt;&gt;1,"批次缺失或重复",IF(COUNTIF('笔记筛选'!$A$6:$A$35,E204)&lt;&gt;1,"笔记缺失或重复",IF(AND(K204="是",COUNTIF('证据索引'!$A$6:$A$105,F204)&lt;&gt;1),"证据缺失或重复",""))))</x:f>
      </x:c>
      <x:c r="AA204" s="16" t="str">
        <x:f>IF(A204="","",IF(AND(C204="研究",T204=1),D204,""))</x:f>
      </x:c>
    </x:row>
    <x:row r="205" ht="36" customHeight="1">
      <x:c r="A205" s="11"/>
      <x:c r="B205" s="11"/>
      <x:c r="C205" s="11"/>
      <x:c r="D205" s="11"/>
      <x:c r="E205" s="11"/>
      <x:c r="F205" s="11"/>
      <x:c r="G205" s="17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6" t="str">
        <x:f>IF(A205="","",IF(C205="研究",1,0))</x:f>
      </x:c>
      <x:c r="R205" s="16" t="str">
        <x:f>IF(OR(A205="",C205&lt;&gt;"研究",D205="",J205&lt;&gt;"已判定"),"",IF(COUNTIFS($D$6:D205,D205,$C$6:C205,"研究",$J$6:J205,"已判定")=1,1,0))</x:f>
      </x:c>
      <x:c r="S205" s="16" t="str">
        <x:f>IF(OR(A205="",C205&lt;&gt;"研究",D205="",J205&lt;&gt;"已判定"),"",IF(COUNTIFS($D$6:D205,D205,$B$6:B205,B205,$C$6:C205,"研究",$J$6:J205,"已判定")=1,1,0))</x:f>
      </x:c>
      <x:c r="T205" s="16" t="str">
        <x:f>IF(A205="","",IF(AND(D205&lt;&gt;"",J205="已判定",K205="是",L205="是",COUNTIF('笔记筛选'!$A$6:$A$35,E205)=1,COUNTIF('批次记录'!$A$6:$A$17,B205)=1,COUNTIF('证据索引'!$A$6:$A$105,F205)=1),IF(AND(INDEX('笔记筛选'!$O$6:$O$35,MATCH(E205,'笔记筛选'!$A$6:$A$35,0))=1,INDEX('证据索引'!$H$6:$H$105,MATCH(F205,'证据索引'!$A$6:$A$105,0))="可定位",INDEX('证据索引'!$F$6:$F$105,MATCH(F205,'证据索引'!$A$6:$A$105,0))="是",INDEX('证据索引'!$B$6:$B$105,MATCH(F205,'证据索引'!$A$6:$A$105,0))=E205),1,0),0))</x:f>
      </x:c>
      <x:c r="U205" s="16" t="str">
        <x:f>IF(R205="","",IF(AND(R205=1,COUNTIF($AA$6:$AA$205,D205)&gt;0),1,0))</x:f>
      </x:c>
      <x:c r="V205" s="16" t="str">
        <x:f>IF(R205="","",IF(AND(R205=1,COUNTIFS('问题评论关联'!$C$6:$C$205,D205,'问题评论关联'!$G$6:$G$205,1)&gt;0),1,0))</x:f>
      </x:c>
      <x:c r="W205" s="16" t="str">
        <x:f>IF(S205="","",IF(AND(S205=1,COUNTIFS('问题评论关联'!$C$6:$C$205,D205,'问题评论关联'!$G$6:$G$205,1)&gt;0),1,0))</x:f>
      </x:c>
      <x:c r="X205" s="16" t="str">
        <x:f>IF(A205="","",IF(AND(C205="研究",OR(D205="",J205&lt;&gt;"已判定")),1,0))</x:f>
      </x:c>
      <x:c r="Y205" s="16" t="str">
        <x:f>IF(A205="","",IF(COUNTIF('批次记录'!$A$6:$A$17,B205)&lt;&gt;1,"批次缺失或重复",IF(COUNTIF('笔记筛选'!$A$6:$A$35,E205)&lt;&gt;1,"笔记缺失或重复",IF(AND(K205="是",COUNTIF('证据索引'!$A$6:$A$105,F205)&lt;&gt;1),"证据缺失或重复",""))))</x:f>
      </x:c>
      <x:c r="AA205" s="16" t="str">
        <x:f>IF(A205="","",IF(AND(C205="研究",T205=1),D205,""))</x:f>
      </x:c>
    </x:row>
  </x:sheetData>
  <x:dataValidations count="5">
    <x:dataValidation type="list" sqref="Z6:Z205">
      <x:formula1>"明确问题,经历陈述,观点分歧,关系表达,广告,无关互动,隐私排除,待判"</x:formula1>
    </x:dataValidation>
    <x:dataValidation type="list" sqref="C6:C205">
      <x:formula1>"研究,能力验证"</x:formula1>
    </x:dataValidation>
    <x:dataValidation type="list" sqref="J6:J205">
      <x:formula1>"已判定,待核,隐私排除"</x:formula1>
    </x:dataValidation>
    <x:dataValidation type="list" sqref="K6:K205">
      <x:formula1>"是,否"</x:formula1>
    </x:dataValidation>
    <x:dataValidation type="list" sqref="L6:L20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c10830a4b84465"/>
  </x:tableParts>
</x:worksheet>
</file>

<file path=xl/worksheets/sheet7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5" hidden="0" customWidth="1"/>
    <x:col min="4" max="4" width="38" hidden="0" customWidth="1"/>
    <x:col min="5" max="5" width="38" hidden="0" customWidth="1"/>
    <x:col min="6" max="6" width="3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问题归类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42" customHeight="1">
      <x:c r="A5" s="8" t="str">
        <x:v>问题PID</x:v>
      </x:c>
      <x:c r="B5" s="8" t="str">
        <x:v>问题类别</x:v>
      </x:c>
      <x:c r="C5" s="8" t="str">
        <x:v>目标场景</x:v>
      </x:c>
      <x:c r="D5" s="8" t="str">
        <x:v>显性问题</x:v>
      </x:c>
      <x:c r="E5" s="8" t="str">
        <x:v>潜在需求推测</x:v>
      </x:c>
      <x:c r="F5" s="8" t="str">
        <x:v>反方解释</x:v>
      </x:c>
      <x:c r="G5" s="8" t="str">
        <x:v>问题判定</x:v>
      </x:c>
      <x:c r="H5" s="8" t="str">
        <x:v>业务匹配</x:v>
      </x:c>
      <x:c r="I5" s="8" t="str">
        <x:v>业务事实依据</x:v>
      </x:c>
      <x:c r="J5" s="8" t="str">
        <x:v>合并拆分理由</x:v>
      </x:c>
      <x:c r="K5" s="8" t="str">
        <x:v>支持评论数</x:v>
      </x:c>
      <x:c r="L5" s="8" t="str">
        <x:v>支持笔记数</x:v>
      </x:c>
      <x:c r="M5" s="8" t="str">
        <x:v>反例评论数</x:v>
      </x:c>
      <x:c r="N5" s="8" t="str">
        <x:v>有效问题类别数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6" t="str">
        <x:f>IF(A6="","",SUMIFS('问题评论关联'!$G$6:$G$205,'问题评论关联'!$B$6:$B$205,A6))</x:f>
      </x:c>
      <x:c r="L6" s="16" t="str">
        <x:f>IF(A6="","",SUMIFS('问题评论关联'!$H$6:$H$205,'问题评论关联'!$B$6:$B$205,A6))</x:f>
      </x:c>
      <x:c r="M6" s="16" t="str">
        <x:f>IF(A6="","",SUMIFS('问题评论关联'!$I$6:$I$205,'问题评论关联'!$B$6:$B$205,A6))</x:f>
      </x:c>
      <x:c r="N6" s="16" t="str">
        <x:f>IF(A6="","",IF(AND(G6="有效",K6&gt;0,COUNTIF($A$6:A6,A6)=1),1,0))</x:f>
      </x:c>
    </x:row>
    <x:row r="7" ht="36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6" t="str">
        <x:f>IF(A7="","",SUMIFS('问题评论关联'!$G$6:$G$205,'问题评论关联'!$B$6:$B$205,A7))</x:f>
      </x:c>
      <x:c r="L7" s="16" t="str">
        <x:f>IF(A7="","",SUMIFS('问题评论关联'!$H$6:$H$205,'问题评论关联'!$B$6:$B$205,A7))</x:f>
      </x:c>
      <x:c r="M7" s="16" t="str">
        <x:f>IF(A7="","",SUMIFS('问题评论关联'!$I$6:$I$205,'问题评论关联'!$B$6:$B$205,A7))</x:f>
      </x:c>
      <x:c r="N7" s="16" t="str">
        <x:f>IF(A7="","",IF(AND(G7="有效",K7&gt;0,COUNTIF($A$6:A7,A7)=1),1,0))</x:f>
      </x:c>
    </x:row>
    <x:row r="8" ht="36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6" t="str">
        <x:f>IF(A8="","",SUMIFS('问题评论关联'!$G$6:$G$205,'问题评论关联'!$B$6:$B$205,A8))</x:f>
      </x:c>
      <x:c r="L8" s="16" t="str">
        <x:f>IF(A8="","",SUMIFS('问题评论关联'!$H$6:$H$205,'问题评论关联'!$B$6:$B$205,A8))</x:f>
      </x:c>
      <x:c r="M8" s="16" t="str">
        <x:f>IF(A8="","",SUMIFS('问题评论关联'!$I$6:$I$205,'问题评论关联'!$B$6:$B$205,A8))</x:f>
      </x:c>
      <x:c r="N8" s="16" t="str">
        <x:f>IF(A8="","",IF(AND(G8="有效",K8&gt;0,COUNTIF($A$6:A8,A8)=1),1,0))</x:f>
      </x:c>
    </x:row>
    <x:row r="9" ht="36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6" t="str">
        <x:f>IF(A9="","",SUMIFS('问题评论关联'!$G$6:$G$205,'问题评论关联'!$B$6:$B$205,A9))</x:f>
      </x:c>
      <x:c r="L9" s="16" t="str">
        <x:f>IF(A9="","",SUMIFS('问题评论关联'!$H$6:$H$205,'问题评论关联'!$B$6:$B$205,A9))</x:f>
      </x:c>
      <x:c r="M9" s="16" t="str">
        <x:f>IF(A9="","",SUMIFS('问题评论关联'!$I$6:$I$205,'问题评论关联'!$B$6:$B$205,A9))</x:f>
      </x:c>
      <x:c r="N9" s="16" t="str">
        <x:f>IF(A9="","",IF(AND(G9="有效",K9&gt;0,COUNTIF($A$6:A9,A9)=1),1,0))</x:f>
      </x:c>
    </x:row>
    <x:row r="10" ht="36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6" t="str">
        <x:f>IF(A10="","",SUMIFS('问题评论关联'!$G$6:$G$205,'问题评论关联'!$B$6:$B$205,A10))</x:f>
      </x:c>
      <x:c r="L10" s="16" t="str">
        <x:f>IF(A10="","",SUMIFS('问题评论关联'!$H$6:$H$205,'问题评论关联'!$B$6:$B$205,A10))</x:f>
      </x:c>
      <x:c r="M10" s="16" t="str">
        <x:f>IF(A10="","",SUMIFS('问题评论关联'!$I$6:$I$205,'问题评论关联'!$B$6:$B$205,A10))</x:f>
      </x:c>
      <x:c r="N10" s="16" t="str">
        <x:f>IF(A10="","",IF(AND(G10="有效",K10&gt;0,COUNTIF($A$6:A10,A10)=1),1,0))</x:f>
      </x:c>
    </x:row>
    <x:row r="11" ht="36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6" t="str">
        <x:f>IF(A11="","",SUMIFS('问题评论关联'!$G$6:$G$205,'问题评论关联'!$B$6:$B$205,A11))</x:f>
      </x:c>
      <x:c r="L11" s="16" t="str">
        <x:f>IF(A11="","",SUMIFS('问题评论关联'!$H$6:$H$205,'问题评论关联'!$B$6:$B$205,A11))</x:f>
      </x:c>
      <x:c r="M11" s="16" t="str">
        <x:f>IF(A11="","",SUMIFS('问题评论关联'!$I$6:$I$205,'问题评论关联'!$B$6:$B$205,A11))</x:f>
      </x:c>
      <x:c r="N11" s="16" t="str">
        <x:f>IF(A11="","",IF(AND(G11="有效",K11&gt;0,COUNTIF($A$6:A11,A11)=1),1,0))</x:f>
      </x:c>
    </x:row>
    <x:row r="12" ht="36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6" t="str">
        <x:f>IF(A12="","",SUMIFS('问题评论关联'!$G$6:$G$205,'问题评论关联'!$B$6:$B$205,A12))</x:f>
      </x:c>
      <x:c r="L12" s="16" t="str">
        <x:f>IF(A12="","",SUMIFS('问题评论关联'!$H$6:$H$205,'问题评论关联'!$B$6:$B$205,A12))</x:f>
      </x:c>
      <x:c r="M12" s="16" t="str">
        <x:f>IF(A12="","",SUMIFS('问题评论关联'!$I$6:$I$205,'问题评论关联'!$B$6:$B$205,A12))</x:f>
      </x:c>
      <x:c r="N12" s="16" t="str">
        <x:f>IF(A12="","",IF(AND(G12="有效",K12&gt;0,COUNTIF($A$6:A12,A12)=1),1,0))</x:f>
      </x:c>
    </x:row>
    <x:row r="13" ht="36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6" t="str">
        <x:f>IF(A13="","",SUMIFS('问题评论关联'!$G$6:$G$205,'问题评论关联'!$B$6:$B$205,A13))</x:f>
      </x:c>
      <x:c r="L13" s="16" t="str">
        <x:f>IF(A13="","",SUMIFS('问题评论关联'!$H$6:$H$205,'问题评论关联'!$B$6:$B$205,A13))</x:f>
      </x:c>
      <x:c r="M13" s="16" t="str">
        <x:f>IF(A13="","",SUMIFS('问题评论关联'!$I$6:$I$205,'问题评论关联'!$B$6:$B$205,A13))</x:f>
      </x:c>
      <x:c r="N13" s="16" t="str">
        <x:f>IF(A13="","",IF(AND(G13="有效",K13&gt;0,COUNTIF($A$6:A13,A13)=1),1,0))</x:f>
      </x:c>
    </x:row>
    <x:row r="14" ht="36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6" t="str">
        <x:f>IF(A14="","",SUMIFS('问题评论关联'!$G$6:$G$205,'问题评论关联'!$B$6:$B$205,A14))</x:f>
      </x:c>
      <x:c r="L14" s="16" t="str">
        <x:f>IF(A14="","",SUMIFS('问题评论关联'!$H$6:$H$205,'问题评论关联'!$B$6:$B$205,A14))</x:f>
      </x:c>
      <x:c r="M14" s="16" t="str">
        <x:f>IF(A14="","",SUMIFS('问题评论关联'!$I$6:$I$205,'问题评论关联'!$B$6:$B$205,A14))</x:f>
      </x:c>
      <x:c r="N14" s="16" t="str">
        <x:f>IF(A14="","",IF(AND(G14="有效",K14&gt;0,COUNTIF($A$6:A14,A14)=1),1,0))</x:f>
      </x:c>
    </x:row>
    <x:row r="15" ht="36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6" t="str">
        <x:f>IF(A15="","",SUMIFS('问题评论关联'!$G$6:$G$205,'问题评论关联'!$B$6:$B$205,A15))</x:f>
      </x:c>
      <x:c r="L15" s="16" t="str">
        <x:f>IF(A15="","",SUMIFS('问题评论关联'!$H$6:$H$205,'问题评论关联'!$B$6:$B$205,A15))</x:f>
      </x:c>
      <x:c r="M15" s="16" t="str">
        <x:f>IF(A15="","",SUMIFS('问题评论关联'!$I$6:$I$205,'问题评论关联'!$B$6:$B$205,A15))</x:f>
      </x:c>
      <x:c r="N15" s="16" t="str">
        <x:f>IF(A15="","",IF(AND(G15="有效",K15&gt;0,COUNTIF($A$6:A15,A15)=1),1,0))</x:f>
      </x:c>
    </x:row>
    <x:row r="16" ht="36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6" t="str">
        <x:f>IF(A16="","",SUMIFS('问题评论关联'!$G$6:$G$205,'问题评论关联'!$B$6:$B$205,A16))</x:f>
      </x:c>
      <x:c r="L16" s="16" t="str">
        <x:f>IF(A16="","",SUMIFS('问题评论关联'!$H$6:$H$205,'问题评论关联'!$B$6:$B$205,A16))</x:f>
      </x:c>
      <x:c r="M16" s="16" t="str">
        <x:f>IF(A16="","",SUMIFS('问题评论关联'!$I$6:$I$205,'问题评论关联'!$B$6:$B$205,A16))</x:f>
      </x:c>
      <x:c r="N16" s="16" t="str">
        <x:f>IF(A16="","",IF(AND(G16="有效",K16&gt;0,COUNTIF($A$6:A16,A16)=1),1,0))</x:f>
      </x:c>
    </x:row>
    <x:row r="17" ht="36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6" t="str">
        <x:f>IF(A17="","",SUMIFS('问题评论关联'!$G$6:$G$205,'问题评论关联'!$B$6:$B$205,A17))</x:f>
      </x:c>
      <x:c r="L17" s="16" t="str">
        <x:f>IF(A17="","",SUMIFS('问题评论关联'!$H$6:$H$205,'问题评论关联'!$B$6:$B$205,A17))</x:f>
      </x:c>
      <x:c r="M17" s="16" t="str">
        <x:f>IF(A17="","",SUMIFS('问题评论关联'!$I$6:$I$205,'问题评论关联'!$B$6:$B$205,A17))</x:f>
      </x:c>
      <x:c r="N17" s="16" t="str">
        <x:f>IF(A17="","",IF(AND(G17="有效",K17&gt;0,COUNTIF($A$6:A17,A17)=1),1,0))</x:f>
      </x:c>
    </x:row>
    <x:row r="18" ht="36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6" t="str">
        <x:f>IF(A18="","",SUMIFS('问题评论关联'!$G$6:$G$205,'问题评论关联'!$B$6:$B$205,A18))</x:f>
      </x:c>
      <x:c r="L18" s="16" t="str">
        <x:f>IF(A18="","",SUMIFS('问题评论关联'!$H$6:$H$205,'问题评论关联'!$B$6:$B$205,A18))</x:f>
      </x:c>
      <x:c r="M18" s="16" t="str">
        <x:f>IF(A18="","",SUMIFS('问题评论关联'!$I$6:$I$205,'问题评论关联'!$B$6:$B$205,A18))</x:f>
      </x:c>
      <x:c r="N18" s="16" t="str">
        <x:f>IF(A18="","",IF(AND(G18="有效",K18&gt;0,COUNTIF($A$6:A18,A18)=1),1,0))</x:f>
      </x:c>
    </x:row>
    <x:row r="19" ht="36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6" t="str">
        <x:f>IF(A19="","",SUMIFS('问题评论关联'!$G$6:$G$205,'问题评论关联'!$B$6:$B$205,A19))</x:f>
      </x:c>
      <x:c r="L19" s="16" t="str">
        <x:f>IF(A19="","",SUMIFS('问题评论关联'!$H$6:$H$205,'问题评论关联'!$B$6:$B$205,A19))</x:f>
      </x:c>
      <x:c r="M19" s="16" t="str">
        <x:f>IF(A19="","",SUMIFS('问题评论关联'!$I$6:$I$205,'问题评论关联'!$B$6:$B$205,A19))</x:f>
      </x:c>
      <x:c r="N19" s="16" t="str">
        <x:f>IF(A19="","",IF(AND(G19="有效",K19&gt;0,COUNTIF($A$6:A19,A19)=1),1,0))</x:f>
      </x:c>
    </x:row>
    <x:row r="20" ht="36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6" t="str">
        <x:f>IF(A20="","",SUMIFS('问题评论关联'!$G$6:$G$205,'问题评论关联'!$B$6:$B$205,A20))</x:f>
      </x:c>
      <x:c r="L20" s="16" t="str">
        <x:f>IF(A20="","",SUMIFS('问题评论关联'!$H$6:$H$205,'问题评论关联'!$B$6:$B$205,A20))</x:f>
      </x:c>
      <x:c r="M20" s="16" t="str">
        <x:f>IF(A20="","",SUMIFS('问题评论关联'!$I$6:$I$205,'问题评论关联'!$B$6:$B$205,A20))</x:f>
      </x:c>
      <x:c r="N20" s="16" t="str">
        <x:f>IF(A20="","",IF(AND(G20="有效",K20&gt;0,COUNTIF($A$6:A20,A20)=1),1,0))</x:f>
      </x:c>
    </x:row>
    <x:row r="21" ht="36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6" t="str">
        <x:f>IF(A21="","",SUMIFS('问题评论关联'!$G$6:$G$205,'问题评论关联'!$B$6:$B$205,A21))</x:f>
      </x:c>
      <x:c r="L21" s="16" t="str">
        <x:f>IF(A21="","",SUMIFS('问题评论关联'!$H$6:$H$205,'问题评论关联'!$B$6:$B$205,A21))</x:f>
      </x:c>
      <x:c r="M21" s="16" t="str">
        <x:f>IF(A21="","",SUMIFS('问题评论关联'!$I$6:$I$205,'问题评论关联'!$B$6:$B$205,A21))</x:f>
      </x:c>
      <x:c r="N21" s="16" t="str">
        <x:f>IF(A21="","",IF(AND(G21="有效",K21&gt;0,COUNTIF($A$6:A21,A21)=1),1,0))</x:f>
      </x:c>
    </x:row>
    <x:row r="22" ht="36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6" t="str">
        <x:f>IF(A22="","",SUMIFS('问题评论关联'!$G$6:$G$205,'问题评论关联'!$B$6:$B$205,A22))</x:f>
      </x:c>
      <x:c r="L22" s="16" t="str">
        <x:f>IF(A22="","",SUMIFS('问题评论关联'!$H$6:$H$205,'问题评论关联'!$B$6:$B$205,A22))</x:f>
      </x:c>
      <x:c r="M22" s="16" t="str">
        <x:f>IF(A22="","",SUMIFS('问题评论关联'!$I$6:$I$205,'问题评论关联'!$B$6:$B$205,A22))</x:f>
      </x:c>
      <x:c r="N22" s="16" t="str">
        <x:f>IF(A22="","",IF(AND(G22="有效",K22&gt;0,COUNTIF($A$6:A22,A22)=1),1,0))</x:f>
      </x:c>
    </x:row>
    <x:row r="23" ht="36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6" t="str">
        <x:f>IF(A23="","",SUMIFS('问题评论关联'!$G$6:$G$205,'问题评论关联'!$B$6:$B$205,A23))</x:f>
      </x:c>
      <x:c r="L23" s="16" t="str">
        <x:f>IF(A23="","",SUMIFS('问题评论关联'!$H$6:$H$205,'问题评论关联'!$B$6:$B$205,A23))</x:f>
      </x:c>
      <x:c r="M23" s="16" t="str">
        <x:f>IF(A23="","",SUMIFS('问题评论关联'!$I$6:$I$205,'问题评论关联'!$B$6:$B$205,A23))</x:f>
      </x:c>
      <x:c r="N23" s="16" t="str">
        <x:f>IF(A23="","",IF(AND(G23="有效",K23&gt;0,COUNTIF($A$6:A23,A23)=1),1,0))</x:f>
      </x:c>
    </x:row>
    <x:row r="24" ht="36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6" t="str">
        <x:f>IF(A24="","",SUMIFS('问题评论关联'!$G$6:$G$205,'问题评论关联'!$B$6:$B$205,A24))</x:f>
      </x:c>
      <x:c r="L24" s="16" t="str">
        <x:f>IF(A24="","",SUMIFS('问题评论关联'!$H$6:$H$205,'问题评论关联'!$B$6:$B$205,A24))</x:f>
      </x:c>
      <x:c r="M24" s="16" t="str">
        <x:f>IF(A24="","",SUMIFS('问题评论关联'!$I$6:$I$205,'问题评论关联'!$B$6:$B$205,A24))</x:f>
      </x:c>
      <x:c r="N24" s="16" t="str">
        <x:f>IF(A24="","",IF(AND(G24="有效",K24&gt;0,COUNTIF($A$6:A24,A24)=1),1,0))</x:f>
      </x:c>
    </x:row>
    <x:row r="25" ht="36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6" t="str">
        <x:f>IF(A25="","",SUMIFS('问题评论关联'!$G$6:$G$205,'问题评论关联'!$B$6:$B$205,A25))</x:f>
      </x:c>
      <x:c r="L25" s="16" t="str">
        <x:f>IF(A25="","",SUMIFS('问题评论关联'!$H$6:$H$205,'问题评论关联'!$B$6:$B$205,A25))</x:f>
      </x:c>
      <x:c r="M25" s="16" t="str">
        <x:f>IF(A25="","",SUMIFS('问题评论关联'!$I$6:$I$205,'问题评论关联'!$B$6:$B$205,A25))</x:f>
      </x:c>
      <x:c r="N25" s="16" t="str">
        <x:f>IF(A25="","",IF(AND(G25="有效",K25&gt;0,COUNTIF($A$6:A25,A25)=1),1,0))</x:f>
      </x:c>
    </x:row>
    <x:row r="26" ht="36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6" t="str">
        <x:f>IF(A26="","",SUMIFS('问题评论关联'!$G$6:$G$205,'问题评论关联'!$B$6:$B$205,A26))</x:f>
      </x:c>
      <x:c r="L26" s="16" t="str">
        <x:f>IF(A26="","",SUMIFS('问题评论关联'!$H$6:$H$205,'问题评论关联'!$B$6:$B$205,A26))</x:f>
      </x:c>
      <x:c r="M26" s="16" t="str">
        <x:f>IF(A26="","",SUMIFS('问题评论关联'!$I$6:$I$205,'问题评论关联'!$B$6:$B$205,A26))</x:f>
      </x:c>
      <x:c r="N26" s="16" t="str">
        <x:f>IF(A26="","",IF(AND(G26="有效",K26&gt;0,COUNTIF($A$6:A26,A26)=1),1,0))</x:f>
      </x:c>
    </x:row>
    <x:row r="27" ht="36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6" t="str">
        <x:f>IF(A27="","",SUMIFS('问题评论关联'!$G$6:$G$205,'问题评论关联'!$B$6:$B$205,A27))</x:f>
      </x:c>
      <x:c r="L27" s="16" t="str">
        <x:f>IF(A27="","",SUMIFS('问题评论关联'!$H$6:$H$205,'问题评论关联'!$B$6:$B$205,A27))</x:f>
      </x:c>
      <x:c r="M27" s="16" t="str">
        <x:f>IF(A27="","",SUMIFS('问题评论关联'!$I$6:$I$205,'问题评论关联'!$B$6:$B$205,A27))</x:f>
      </x:c>
      <x:c r="N27" s="16" t="str">
        <x:f>IF(A27="","",IF(AND(G27="有效",K27&gt;0,COUNTIF($A$6:A27,A27)=1),1,0))</x:f>
      </x:c>
    </x:row>
    <x:row r="28" ht="36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6" t="str">
        <x:f>IF(A28="","",SUMIFS('问题评论关联'!$G$6:$G$205,'问题评论关联'!$B$6:$B$205,A28))</x:f>
      </x:c>
      <x:c r="L28" s="16" t="str">
        <x:f>IF(A28="","",SUMIFS('问题评论关联'!$H$6:$H$205,'问题评论关联'!$B$6:$B$205,A28))</x:f>
      </x:c>
      <x:c r="M28" s="16" t="str">
        <x:f>IF(A28="","",SUMIFS('问题评论关联'!$I$6:$I$205,'问题评论关联'!$B$6:$B$205,A28))</x:f>
      </x:c>
      <x:c r="N28" s="16" t="str">
        <x:f>IF(A28="","",IF(AND(G28="有效",K28&gt;0,COUNTIF($A$6:A28,A28)=1),1,0))</x:f>
      </x:c>
    </x:row>
    <x:row r="29" ht="36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6" t="str">
        <x:f>IF(A29="","",SUMIFS('问题评论关联'!$G$6:$G$205,'问题评论关联'!$B$6:$B$205,A29))</x:f>
      </x:c>
      <x:c r="L29" s="16" t="str">
        <x:f>IF(A29="","",SUMIFS('问题评论关联'!$H$6:$H$205,'问题评论关联'!$B$6:$B$205,A29))</x:f>
      </x:c>
      <x:c r="M29" s="16" t="str">
        <x:f>IF(A29="","",SUMIFS('问题评论关联'!$I$6:$I$205,'问题评论关联'!$B$6:$B$205,A29))</x:f>
      </x:c>
      <x:c r="N29" s="16" t="str">
        <x:f>IF(A29="","",IF(AND(G29="有效",K29&gt;0,COUNTIF($A$6:A29,A29)=1),1,0))</x:f>
      </x:c>
    </x:row>
    <x:row r="30" ht="36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6" t="str">
        <x:f>IF(A30="","",SUMIFS('问题评论关联'!$G$6:$G$205,'问题评论关联'!$B$6:$B$205,A30))</x:f>
      </x:c>
      <x:c r="L30" s="16" t="str">
        <x:f>IF(A30="","",SUMIFS('问题评论关联'!$H$6:$H$205,'问题评论关联'!$B$6:$B$205,A30))</x:f>
      </x:c>
      <x:c r="M30" s="16" t="str">
        <x:f>IF(A30="","",SUMIFS('问题评论关联'!$I$6:$I$205,'问题评论关联'!$B$6:$B$205,A30))</x:f>
      </x:c>
      <x:c r="N30" s="16" t="str">
        <x:f>IF(A30="","",IF(AND(G30="有效",K30&gt;0,COUNTIF($A$6:A30,A30)=1),1,0))</x:f>
      </x:c>
    </x:row>
    <x:row r="31" ht="36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6" t="str">
        <x:f>IF(A31="","",SUMIFS('问题评论关联'!$G$6:$G$205,'问题评论关联'!$B$6:$B$205,A31))</x:f>
      </x:c>
      <x:c r="L31" s="16" t="str">
        <x:f>IF(A31="","",SUMIFS('问题评论关联'!$H$6:$H$205,'问题评论关联'!$B$6:$B$205,A31))</x:f>
      </x:c>
      <x:c r="M31" s="16" t="str">
        <x:f>IF(A31="","",SUMIFS('问题评论关联'!$I$6:$I$205,'问题评论关联'!$B$6:$B$205,A31))</x:f>
      </x:c>
      <x:c r="N31" s="16" t="str">
        <x:f>IF(A31="","",IF(AND(G31="有效",K31&gt;0,COUNTIF($A$6:A31,A31)=1),1,0))</x:f>
      </x:c>
    </x:row>
    <x:row r="32" ht="36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6" t="str">
        <x:f>IF(A32="","",SUMIFS('问题评论关联'!$G$6:$G$205,'问题评论关联'!$B$6:$B$205,A32))</x:f>
      </x:c>
      <x:c r="L32" s="16" t="str">
        <x:f>IF(A32="","",SUMIFS('问题评论关联'!$H$6:$H$205,'问题评论关联'!$B$6:$B$205,A32))</x:f>
      </x:c>
      <x:c r="M32" s="16" t="str">
        <x:f>IF(A32="","",SUMIFS('问题评论关联'!$I$6:$I$205,'问题评论关联'!$B$6:$B$205,A32))</x:f>
      </x:c>
      <x:c r="N32" s="16" t="str">
        <x:f>IF(A32="","",IF(AND(G32="有效",K32&gt;0,COUNTIF($A$6:A32,A32)=1),1,0))</x:f>
      </x:c>
    </x:row>
    <x:row r="33" ht="36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6" t="str">
        <x:f>IF(A33="","",SUMIFS('问题评论关联'!$G$6:$G$205,'问题评论关联'!$B$6:$B$205,A33))</x:f>
      </x:c>
      <x:c r="L33" s="16" t="str">
        <x:f>IF(A33="","",SUMIFS('问题评论关联'!$H$6:$H$205,'问题评论关联'!$B$6:$B$205,A33))</x:f>
      </x:c>
      <x:c r="M33" s="16" t="str">
        <x:f>IF(A33="","",SUMIFS('问题评论关联'!$I$6:$I$205,'问题评论关联'!$B$6:$B$205,A33))</x:f>
      </x:c>
      <x:c r="N33" s="16" t="str">
        <x:f>IF(A33="","",IF(AND(G33="有效",K33&gt;0,COUNTIF($A$6:A33,A33)=1),1,0))</x:f>
      </x:c>
    </x:row>
    <x:row r="34" ht="36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6" t="str">
        <x:f>IF(A34="","",SUMIFS('问题评论关联'!$G$6:$G$205,'问题评论关联'!$B$6:$B$205,A34))</x:f>
      </x:c>
      <x:c r="L34" s="16" t="str">
        <x:f>IF(A34="","",SUMIFS('问题评论关联'!$H$6:$H$205,'问题评论关联'!$B$6:$B$205,A34))</x:f>
      </x:c>
      <x:c r="M34" s="16" t="str">
        <x:f>IF(A34="","",SUMIFS('问题评论关联'!$I$6:$I$205,'问题评论关联'!$B$6:$B$205,A34))</x:f>
      </x:c>
      <x:c r="N34" s="16" t="str">
        <x:f>IF(A34="","",IF(AND(G34="有效",K34&gt;0,COUNTIF($A$6:A34,A34)=1),1,0))</x:f>
      </x:c>
    </x:row>
    <x:row r="35" ht="36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6" t="str">
        <x:f>IF(A35="","",SUMIFS('问题评论关联'!$G$6:$G$205,'问题评论关联'!$B$6:$B$205,A35))</x:f>
      </x:c>
      <x:c r="L35" s="16" t="str">
        <x:f>IF(A35="","",SUMIFS('问题评论关联'!$H$6:$H$205,'问题评论关联'!$B$6:$B$205,A35))</x:f>
      </x:c>
      <x:c r="M35" s="16" t="str">
        <x:f>IF(A35="","",SUMIFS('问题评论关联'!$I$6:$I$205,'问题评论关联'!$B$6:$B$205,A35))</x:f>
      </x:c>
      <x:c r="N35" s="16" t="str">
        <x:f>IF(A35="","",IF(AND(G35="有效",K35&gt;0,COUNTIF($A$6:A35,A35)=1),1,0))</x:f>
      </x:c>
    </x:row>
  </x:sheetData>
  <x:dataValidations count="2">
    <x:dataValidation type="list" sqref="G6:G35">
      <x:formula1>"有效,待核,排除"</x:formula1>
    </x:dataValidation>
    <x:dataValidation type="list" sqref="H6:H35">
      <x:formula1>"是,否,待核"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2305ffc5524355"/>
  </x:tableParts>
</x:worksheet>
</file>

<file path=xl/worksheets/sheet8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问题评论关联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8" t="str">
        <x:v>关联LID</x:v>
      </x:c>
      <x:c r="B5" s="8" t="str">
        <x:v>问题PID</x:v>
      </x:c>
      <x:c r="C5" s="8" t="str">
        <x:v>规范CID</x:v>
      </x:c>
      <x:c r="D5" s="8" t="str">
        <x:v>关系</x:v>
      </x:c>
      <x:c r="E5" s="8" t="str">
        <x:v>关联依据</x:v>
      </x:c>
      <x:c r="F5" s="8" t="str">
        <x:v>来源笔记</x:v>
      </x:c>
      <x:c r="G5" s="8" t="str">
        <x:v>有效支持计数</x:v>
      </x:c>
      <x:c r="H5" s="8" t="str">
        <x:v>笔记支持首见</x:v>
      </x:c>
      <x:c r="I5" s="8" t="str">
        <x:v>反例计数</x:v>
      </x:c>
      <x:c r="J5" s="8" t="str">
        <x:v>关联错误</x:v>
      </x:c>
    </x:row>
    <x:row r="6" ht="36" customHeight="1">
      <x:c r="A6" s="11"/>
      <x:c r="B6" s="11"/>
      <x:c r="C6" s="11"/>
      <x:c r="D6" s="11"/>
      <x:c r="E6" s="11"/>
      <x:c r="F6" s="16" t="str">
        <x:f>IF(A6="","",IF(COUNTIF('评论证据'!$AA$6:$AA$205,C6)=0,"缺可定位研究评论",INDEX('评论证据'!$E$6:$E$205,MATCH(C6,'评论证据'!$AA$6:$AA$205,0))))</x:f>
      </x:c>
      <x:c r="G6" s="16" t="str">
        <x:f>IF(A6="","",IF(AND(B6&lt;&gt;"",C6&lt;&gt;"",D6="支持",COUNTIF('问题归类'!$A$6:$A$35,B6)=1,COUNTIFS('评论证据'!$D$6:$D$205,C6,'评论证据'!$T$6:$T$205,1,'评论证据'!$C$6:$C$205,"研究")&gt;0,COUNTIFS($B$6:B6,B6,$C$6:C6,C6,$D$6:D6,"支持")=1),IF(INDEX('问题归类'!$G$6:$G$35,MATCH(B6,'问题归类'!$A$6:$A$35,0))="有效",1,0),0))</x:f>
      </x:c>
      <x:c r="H6" s="16" t="str">
        <x:f>IF(A6="","",IF(G6=1,IF(COUNTIFS($B$6:B6,B6,$F$6:F6,F6,$G$6:G6,1)=1,1,0),0))</x:f>
      </x:c>
      <x:c r="I6" s="16" t="str">
        <x:f>IF(A6="","",IF(AND(D6="反例",COUNTIF('问题归类'!$A$6:$A$35,B6)=1,COUNTIF('评论证据'!$AA$6:$AA$205,C6)&gt;0,COUNTIFS($B$6:B6,B6,$C$6:C6,C6,$D$6:D6,"反例")=1),1,0))</x:f>
      </x:c>
      <x:c r="J6" s="16" t="str">
        <x:f>IF(A6="","",IF(COUNTIF('问题归类'!$A$6:$A$35,B6)&lt;&gt;1,"问题编号缺失或重复",IF(COUNTIF('评论证据'!$D$6:$D$205,C6)=0,"评论编号缺失",IF(COUNTIFS($B$6:B6,B6,$C$6:C6,C6,$D$6:D6,D6)&gt;1,"重复关联不重复计数",""))))</x:f>
      </x:c>
    </x:row>
    <x:row r="7" ht="36" customHeight="1">
      <x:c r="A7" s="11"/>
      <x:c r="B7" s="11"/>
      <x:c r="C7" s="11"/>
      <x:c r="D7" s="11"/>
      <x:c r="E7" s="11"/>
      <x:c r="F7" s="16" t="str">
        <x:f>IF(A7="","",IF(COUNTIF('评论证据'!$AA$6:$AA$205,C7)=0,"缺可定位研究评论",INDEX('评论证据'!$E$6:$E$205,MATCH(C7,'评论证据'!$AA$6:$AA$205,0))))</x:f>
      </x:c>
      <x:c r="G7" s="16" t="str">
        <x:f>IF(A7="","",IF(AND(B7&lt;&gt;"",C7&lt;&gt;"",D7="支持",COUNTIF('问题归类'!$A$6:$A$35,B7)=1,COUNTIFS('评论证据'!$D$6:$D$205,C7,'评论证据'!$T$6:$T$205,1,'评论证据'!$C$6:$C$205,"研究")&gt;0,COUNTIFS($B$6:B7,B7,$C$6:C7,C7,$D$6:D7,"支持")=1),IF(INDEX('问题归类'!$G$6:$G$35,MATCH(B7,'问题归类'!$A$6:$A$35,0))="有效",1,0),0))</x:f>
      </x:c>
      <x:c r="H7" s="16" t="str">
        <x:f>IF(A7="","",IF(G7=1,IF(COUNTIFS($B$6:B7,B7,$F$6:F7,F7,$G$6:G7,1)=1,1,0),0))</x:f>
      </x:c>
      <x:c r="I7" s="16" t="str">
        <x:f>IF(A7="","",IF(AND(D7="反例",COUNTIF('问题归类'!$A$6:$A$35,B7)=1,COUNTIF('评论证据'!$AA$6:$AA$205,C7)&gt;0,COUNTIFS($B$6:B7,B7,$C$6:C7,C7,$D$6:D7,"反例")=1),1,0))</x:f>
      </x:c>
      <x:c r="J7" s="16" t="str">
        <x:f>IF(A7="","",IF(COUNTIF('问题归类'!$A$6:$A$35,B7)&lt;&gt;1,"问题编号缺失或重复",IF(COUNTIF('评论证据'!$D$6:$D$205,C7)=0,"评论编号缺失",IF(COUNTIFS($B$6:B7,B7,$C$6:C7,C7,$D$6:D7,D7)&gt;1,"重复关联不重复计数",""))))</x:f>
      </x:c>
    </x:row>
    <x:row r="8" ht="36" customHeight="1">
      <x:c r="A8" s="11"/>
      <x:c r="B8" s="11"/>
      <x:c r="C8" s="11"/>
      <x:c r="D8" s="11"/>
      <x:c r="E8" s="11"/>
      <x:c r="F8" s="16" t="str">
        <x:f>IF(A8="","",IF(COUNTIF('评论证据'!$AA$6:$AA$205,C8)=0,"缺可定位研究评论",INDEX('评论证据'!$E$6:$E$205,MATCH(C8,'评论证据'!$AA$6:$AA$205,0))))</x:f>
      </x:c>
      <x:c r="G8" s="16" t="str">
        <x:f>IF(A8="","",IF(AND(B8&lt;&gt;"",C8&lt;&gt;"",D8="支持",COUNTIF('问题归类'!$A$6:$A$35,B8)=1,COUNTIFS('评论证据'!$D$6:$D$205,C8,'评论证据'!$T$6:$T$205,1,'评论证据'!$C$6:$C$205,"研究")&gt;0,COUNTIFS($B$6:B8,B8,$C$6:C8,C8,$D$6:D8,"支持")=1),IF(INDEX('问题归类'!$G$6:$G$35,MATCH(B8,'问题归类'!$A$6:$A$35,0))="有效",1,0),0))</x:f>
      </x:c>
      <x:c r="H8" s="16" t="str">
        <x:f>IF(A8="","",IF(G8=1,IF(COUNTIFS($B$6:B8,B8,$F$6:F8,F8,$G$6:G8,1)=1,1,0),0))</x:f>
      </x:c>
      <x:c r="I8" s="16" t="str">
        <x:f>IF(A8="","",IF(AND(D8="反例",COUNTIF('问题归类'!$A$6:$A$35,B8)=1,COUNTIF('评论证据'!$AA$6:$AA$205,C8)&gt;0,COUNTIFS($B$6:B8,B8,$C$6:C8,C8,$D$6:D8,"反例")=1),1,0))</x:f>
      </x:c>
      <x:c r="J8" s="16" t="str">
        <x:f>IF(A8="","",IF(COUNTIF('问题归类'!$A$6:$A$35,B8)&lt;&gt;1,"问题编号缺失或重复",IF(COUNTIF('评论证据'!$D$6:$D$205,C8)=0,"评论编号缺失",IF(COUNTIFS($B$6:B8,B8,$C$6:C8,C8,$D$6:D8,D8)&gt;1,"重复关联不重复计数",""))))</x:f>
      </x:c>
    </x:row>
    <x:row r="9" ht="36" customHeight="1">
      <x:c r="A9" s="11"/>
      <x:c r="B9" s="11"/>
      <x:c r="C9" s="11"/>
      <x:c r="D9" s="11"/>
      <x:c r="E9" s="11"/>
      <x:c r="F9" s="16" t="str">
        <x:f>IF(A9="","",IF(COUNTIF('评论证据'!$AA$6:$AA$205,C9)=0,"缺可定位研究评论",INDEX('评论证据'!$E$6:$E$205,MATCH(C9,'评论证据'!$AA$6:$AA$205,0))))</x:f>
      </x:c>
      <x:c r="G9" s="16" t="str">
        <x:f>IF(A9="","",IF(AND(B9&lt;&gt;"",C9&lt;&gt;"",D9="支持",COUNTIF('问题归类'!$A$6:$A$35,B9)=1,COUNTIFS('评论证据'!$D$6:$D$205,C9,'评论证据'!$T$6:$T$205,1,'评论证据'!$C$6:$C$205,"研究")&gt;0,COUNTIFS($B$6:B9,B9,$C$6:C9,C9,$D$6:D9,"支持")=1),IF(INDEX('问题归类'!$G$6:$G$35,MATCH(B9,'问题归类'!$A$6:$A$35,0))="有效",1,0),0))</x:f>
      </x:c>
      <x:c r="H9" s="16" t="str">
        <x:f>IF(A9="","",IF(G9=1,IF(COUNTIFS($B$6:B9,B9,$F$6:F9,F9,$G$6:G9,1)=1,1,0),0))</x:f>
      </x:c>
      <x:c r="I9" s="16" t="str">
        <x:f>IF(A9="","",IF(AND(D9="反例",COUNTIF('问题归类'!$A$6:$A$35,B9)=1,COUNTIF('评论证据'!$AA$6:$AA$205,C9)&gt;0,COUNTIFS($B$6:B9,B9,$C$6:C9,C9,$D$6:D9,"反例")=1),1,0))</x:f>
      </x:c>
      <x:c r="J9" s="16" t="str">
        <x:f>IF(A9="","",IF(COUNTIF('问题归类'!$A$6:$A$35,B9)&lt;&gt;1,"问题编号缺失或重复",IF(COUNTIF('评论证据'!$D$6:$D$205,C9)=0,"评论编号缺失",IF(COUNTIFS($B$6:B9,B9,$C$6:C9,C9,$D$6:D9,D9)&gt;1,"重复关联不重复计数",""))))</x:f>
      </x:c>
    </x:row>
    <x:row r="10" ht="36" customHeight="1">
      <x:c r="A10" s="11"/>
      <x:c r="B10" s="11"/>
      <x:c r="C10" s="11"/>
      <x:c r="D10" s="11"/>
      <x:c r="E10" s="11"/>
      <x:c r="F10" s="16" t="str">
        <x:f>IF(A10="","",IF(COUNTIF('评论证据'!$AA$6:$AA$205,C10)=0,"缺可定位研究评论",INDEX('评论证据'!$E$6:$E$205,MATCH(C10,'评论证据'!$AA$6:$AA$205,0))))</x:f>
      </x:c>
      <x:c r="G10" s="16" t="str">
        <x:f>IF(A10="","",IF(AND(B10&lt;&gt;"",C10&lt;&gt;"",D10="支持",COUNTIF('问题归类'!$A$6:$A$35,B10)=1,COUNTIFS('评论证据'!$D$6:$D$205,C10,'评论证据'!$T$6:$T$205,1,'评论证据'!$C$6:$C$205,"研究")&gt;0,COUNTIFS($B$6:B10,B10,$C$6:C10,C10,$D$6:D10,"支持")=1),IF(INDEX('问题归类'!$G$6:$G$35,MATCH(B10,'问题归类'!$A$6:$A$35,0))="有效",1,0),0))</x:f>
      </x:c>
      <x:c r="H10" s="16" t="str">
        <x:f>IF(A10="","",IF(G10=1,IF(COUNTIFS($B$6:B10,B10,$F$6:F10,F10,$G$6:G10,1)=1,1,0),0))</x:f>
      </x:c>
      <x:c r="I10" s="16" t="str">
        <x:f>IF(A10="","",IF(AND(D10="反例",COUNTIF('问题归类'!$A$6:$A$35,B10)=1,COUNTIF('评论证据'!$AA$6:$AA$205,C10)&gt;0,COUNTIFS($B$6:B10,B10,$C$6:C10,C10,$D$6:D10,"反例")=1),1,0))</x:f>
      </x:c>
      <x:c r="J10" s="16" t="str">
        <x:f>IF(A10="","",IF(COUNTIF('问题归类'!$A$6:$A$35,B10)&lt;&gt;1,"问题编号缺失或重复",IF(COUNTIF('评论证据'!$D$6:$D$205,C10)=0,"评论编号缺失",IF(COUNTIFS($B$6:B10,B10,$C$6:C10,C10,$D$6:D10,D10)&gt;1,"重复关联不重复计数",""))))</x:f>
      </x:c>
    </x:row>
    <x:row r="11" ht="36" customHeight="1">
      <x:c r="A11" s="11"/>
      <x:c r="B11" s="11"/>
      <x:c r="C11" s="11"/>
      <x:c r="D11" s="11"/>
      <x:c r="E11" s="11"/>
      <x:c r="F11" s="16" t="str">
        <x:f>IF(A11="","",IF(COUNTIF('评论证据'!$AA$6:$AA$205,C11)=0,"缺可定位研究评论",INDEX('评论证据'!$E$6:$E$205,MATCH(C11,'评论证据'!$AA$6:$AA$205,0))))</x:f>
      </x:c>
      <x:c r="G11" s="16" t="str">
        <x:f>IF(A11="","",IF(AND(B11&lt;&gt;"",C11&lt;&gt;"",D11="支持",COUNTIF('问题归类'!$A$6:$A$35,B11)=1,COUNTIFS('评论证据'!$D$6:$D$205,C11,'评论证据'!$T$6:$T$205,1,'评论证据'!$C$6:$C$205,"研究")&gt;0,COUNTIFS($B$6:B11,B11,$C$6:C11,C11,$D$6:D11,"支持")=1),IF(INDEX('问题归类'!$G$6:$G$35,MATCH(B11,'问题归类'!$A$6:$A$35,0))="有效",1,0),0))</x:f>
      </x:c>
      <x:c r="H11" s="16" t="str">
        <x:f>IF(A11="","",IF(G11=1,IF(COUNTIFS($B$6:B11,B11,$F$6:F11,F11,$G$6:G11,1)=1,1,0),0))</x:f>
      </x:c>
      <x:c r="I11" s="16" t="str">
        <x:f>IF(A11="","",IF(AND(D11="反例",COUNTIF('问题归类'!$A$6:$A$35,B11)=1,COUNTIF('评论证据'!$AA$6:$AA$205,C11)&gt;0,COUNTIFS($B$6:B11,B11,$C$6:C11,C11,$D$6:D11,"反例")=1),1,0))</x:f>
      </x:c>
      <x:c r="J11" s="16" t="str">
        <x:f>IF(A11="","",IF(COUNTIF('问题归类'!$A$6:$A$35,B11)&lt;&gt;1,"问题编号缺失或重复",IF(COUNTIF('评论证据'!$D$6:$D$205,C11)=0,"评论编号缺失",IF(COUNTIFS($B$6:B11,B11,$C$6:C11,C11,$D$6:D11,D11)&gt;1,"重复关联不重复计数",""))))</x:f>
      </x:c>
    </x:row>
    <x:row r="12" ht="36" customHeight="1">
      <x:c r="A12" s="11"/>
      <x:c r="B12" s="11"/>
      <x:c r="C12" s="11"/>
      <x:c r="D12" s="11"/>
      <x:c r="E12" s="11"/>
      <x:c r="F12" s="16" t="str">
        <x:f>IF(A12="","",IF(COUNTIF('评论证据'!$AA$6:$AA$205,C12)=0,"缺可定位研究评论",INDEX('评论证据'!$E$6:$E$205,MATCH(C12,'评论证据'!$AA$6:$AA$205,0))))</x:f>
      </x:c>
      <x:c r="G12" s="16" t="str">
        <x:f>IF(A12="","",IF(AND(B12&lt;&gt;"",C12&lt;&gt;"",D12="支持",COUNTIF('问题归类'!$A$6:$A$35,B12)=1,COUNTIFS('评论证据'!$D$6:$D$205,C12,'评论证据'!$T$6:$T$205,1,'评论证据'!$C$6:$C$205,"研究")&gt;0,COUNTIFS($B$6:B12,B12,$C$6:C12,C12,$D$6:D12,"支持")=1),IF(INDEX('问题归类'!$G$6:$G$35,MATCH(B12,'问题归类'!$A$6:$A$35,0))="有效",1,0),0))</x:f>
      </x:c>
      <x:c r="H12" s="16" t="str">
        <x:f>IF(A12="","",IF(G12=1,IF(COUNTIFS($B$6:B12,B12,$F$6:F12,F12,$G$6:G12,1)=1,1,0),0))</x:f>
      </x:c>
      <x:c r="I12" s="16" t="str">
        <x:f>IF(A12="","",IF(AND(D12="反例",COUNTIF('问题归类'!$A$6:$A$35,B12)=1,COUNTIF('评论证据'!$AA$6:$AA$205,C12)&gt;0,COUNTIFS($B$6:B12,B12,$C$6:C12,C12,$D$6:D12,"反例")=1),1,0))</x:f>
      </x:c>
      <x:c r="J12" s="16" t="str">
        <x:f>IF(A12="","",IF(COUNTIF('问题归类'!$A$6:$A$35,B12)&lt;&gt;1,"问题编号缺失或重复",IF(COUNTIF('评论证据'!$D$6:$D$205,C12)=0,"评论编号缺失",IF(COUNTIFS($B$6:B12,B12,$C$6:C12,C12,$D$6:D12,D12)&gt;1,"重复关联不重复计数",""))))</x:f>
      </x:c>
    </x:row>
    <x:row r="13" ht="36" customHeight="1">
      <x:c r="A13" s="11"/>
      <x:c r="B13" s="11"/>
      <x:c r="C13" s="11"/>
      <x:c r="D13" s="11"/>
      <x:c r="E13" s="11"/>
      <x:c r="F13" s="16" t="str">
        <x:f>IF(A13="","",IF(COUNTIF('评论证据'!$AA$6:$AA$205,C13)=0,"缺可定位研究评论",INDEX('评论证据'!$E$6:$E$205,MATCH(C13,'评论证据'!$AA$6:$AA$205,0))))</x:f>
      </x:c>
      <x:c r="G13" s="16" t="str">
        <x:f>IF(A13="","",IF(AND(B13&lt;&gt;"",C13&lt;&gt;"",D13="支持",COUNTIF('问题归类'!$A$6:$A$35,B13)=1,COUNTIFS('评论证据'!$D$6:$D$205,C13,'评论证据'!$T$6:$T$205,1,'评论证据'!$C$6:$C$205,"研究")&gt;0,COUNTIFS($B$6:B13,B13,$C$6:C13,C13,$D$6:D13,"支持")=1),IF(INDEX('问题归类'!$G$6:$G$35,MATCH(B13,'问题归类'!$A$6:$A$35,0))="有效",1,0),0))</x:f>
      </x:c>
      <x:c r="H13" s="16" t="str">
        <x:f>IF(A13="","",IF(G13=1,IF(COUNTIFS($B$6:B13,B13,$F$6:F13,F13,$G$6:G13,1)=1,1,0),0))</x:f>
      </x:c>
      <x:c r="I13" s="16" t="str">
        <x:f>IF(A13="","",IF(AND(D13="反例",COUNTIF('问题归类'!$A$6:$A$35,B13)=1,COUNTIF('评论证据'!$AA$6:$AA$205,C13)&gt;0,COUNTIFS($B$6:B13,B13,$C$6:C13,C13,$D$6:D13,"反例")=1),1,0))</x:f>
      </x:c>
      <x:c r="J13" s="16" t="str">
        <x:f>IF(A13="","",IF(COUNTIF('问题归类'!$A$6:$A$35,B13)&lt;&gt;1,"问题编号缺失或重复",IF(COUNTIF('评论证据'!$D$6:$D$205,C13)=0,"评论编号缺失",IF(COUNTIFS($B$6:B13,B13,$C$6:C13,C13,$D$6:D13,D13)&gt;1,"重复关联不重复计数",""))))</x:f>
      </x:c>
    </x:row>
    <x:row r="14" ht="36" customHeight="1">
      <x:c r="A14" s="11"/>
      <x:c r="B14" s="11"/>
      <x:c r="C14" s="11"/>
      <x:c r="D14" s="11"/>
      <x:c r="E14" s="11"/>
      <x:c r="F14" s="16" t="str">
        <x:f>IF(A14="","",IF(COUNTIF('评论证据'!$AA$6:$AA$205,C14)=0,"缺可定位研究评论",INDEX('评论证据'!$E$6:$E$205,MATCH(C14,'评论证据'!$AA$6:$AA$205,0))))</x:f>
      </x:c>
      <x:c r="G14" s="16" t="str">
        <x:f>IF(A14="","",IF(AND(B14&lt;&gt;"",C14&lt;&gt;"",D14="支持",COUNTIF('问题归类'!$A$6:$A$35,B14)=1,COUNTIFS('评论证据'!$D$6:$D$205,C14,'评论证据'!$T$6:$T$205,1,'评论证据'!$C$6:$C$205,"研究")&gt;0,COUNTIFS($B$6:B14,B14,$C$6:C14,C14,$D$6:D14,"支持")=1),IF(INDEX('问题归类'!$G$6:$G$35,MATCH(B14,'问题归类'!$A$6:$A$35,0))="有效",1,0),0))</x:f>
      </x:c>
      <x:c r="H14" s="16" t="str">
        <x:f>IF(A14="","",IF(G14=1,IF(COUNTIFS($B$6:B14,B14,$F$6:F14,F14,$G$6:G14,1)=1,1,0),0))</x:f>
      </x:c>
      <x:c r="I14" s="16" t="str">
        <x:f>IF(A14="","",IF(AND(D14="反例",COUNTIF('问题归类'!$A$6:$A$35,B14)=1,COUNTIF('评论证据'!$AA$6:$AA$205,C14)&gt;0,COUNTIFS($B$6:B14,B14,$C$6:C14,C14,$D$6:D14,"反例")=1),1,0))</x:f>
      </x:c>
      <x:c r="J14" s="16" t="str">
        <x:f>IF(A14="","",IF(COUNTIF('问题归类'!$A$6:$A$35,B14)&lt;&gt;1,"问题编号缺失或重复",IF(COUNTIF('评论证据'!$D$6:$D$205,C14)=0,"评论编号缺失",IF(COUNTIFS($B$6:B14,B14,$C$6:C14,C14,$D$6:D14,D14)&gt;1,"重复关联不重复计数",""))))</x:f>
      </x:c>
    </x:row>
    <x:row r="15" ht="36" customHeight="1">
      <x:c r="A15" s="11"/>
      <x:c r="B15" s="11"/>
      <x:c r="C15" s="11"/>
      <x:c r="D15" s="11"/>
      <x:c r="E15" s="11"/>
      <x:c r="F15" s="16" t="str">
        <x:f>IF(A15="","",IF(COUNTIF('评论证据'!$AA$6:$AA$205,C15)=0,"缺可定位研究评论",INDEX('评论证据'!$E$6:$E$205,MATCH(C15,'评论证据'!$AA$6:$AA$205,0))))</x:f>
      </x:c>
      <x:c r="G15" s="16" t="str">
        <x:f>IF(A15="","",IF(AND(B15&lt;&gt;"",C15&lt;&gt;"",D15="支持",COUNTIF('问题归类'!$A$6:$A$35,B15)=1,COUNTIFS('评论证据'!$D$6:$D$205,C15,'评论证据'!$T$6:$T$205,1,'评论证据'!$C$6:$C$205,"研究")&gt;0,COUNTIFS($B$6:B15,B15,$C$6:C15,C15,$D$6:D15,"支持")=1),IF(INDEX('问题归类'!$G$6:$G$35,MATCH(B15,'问题归类'!$A$6:$A$35,0))="有效",1,0),0))</x:f>
      </x:c>
      <x:c r="H15" s="16" t="str">
        <x:f>IF(A15="","",IF(G15=1,IF(COUNTIFS($B$6:B15,B15,$F$6:F15,F15,$G$6:G15,1)=1,1,0),0))</x:f>
      </x:c>
      <x:c r="I15" s="16" t="str">
        <x:f>IF(A15="","",IF(AND(D15="反例",COUNTIF('问题归类'!$A$6:$A$35,B15)=1,COUNTIF('评论证据'!$AA$6:$AA$205,C15)&gt;0,COUNTIFS($B$6:B15,B15,$C$6:C15,C15,$D$6:D15,"反例")=1),1,0))</x:f>
      </x:c>
      <x:c r="J15" s="16" t="str">
        <x:f>IF(A15="","",IF(COUNTIF('问题归类'!$A$6:$A$35,B15)&lt;&gt;1,"问题编号缺失或重复",IF(COUNTIF('评论证据'!$D$6:$D$205,C15)=0,"评论编号缺失",IF(COUNTIFS($B$6:B15,B15,$C$6:C15,C15,$D$6:D15,D15)&gt;1,"重复关联不重复计数",""))))</x:f>
      </x:c>
    </x:row>
    <x:row r="16" ht="36" customHeight="1">
      <x:c r="A16" s="11"/>
      <x:c r="B16" s="11"/>
      <x:c r="C16" s="11"/>
      <x:c r="D16" s="11"/>
      <x:c r="E16" s="11"/>
      <x:c r="F16" s="16" t="str">
        <x:f>IF(A16="","",IF(COUNTIF('评论证据'!$AA$6:$AA$205,C16)=0,"缺可定位研究评论",INDEX('评论证据'!$E$6:$E$205,MATCH(C16,'评论证据'!$AA$6:$AA$205,0))))</x:f>
      </x:c>
      <x:c r="G16" s="16" t="str">
        <x:f>IF(A16="","",IF(AND(B16&lt;&gt;"",C16&lt;&gt;"",D16="支持",COUNTIF('问题归类'!$A$6:$A$35,B16)=1,COUNTIFS('评论证据'!$D$6:$D$205,C16,'评论证据'!$T$6:$T$205,1,'评论证据'!$C$6:$C$205,"研究")&gt;0,COUNTIFS($B$6:B16,B16,$C$6:C16,C16,$D$6:D16,"支持")=1),IF(INDEX('问题归类'!$G$6:$G$35,MATCH(B16,'问题归类'!$A$6:$A$35,0))="有效",1,0),0))</x:f>
      </x:c>
      <x:c r="H16" s="16" t="str">
        <x:f>IF(A16="","",IF(G16=1,IF(COUNTIFS($B$6:B16,B16,$F$6:F16,F16,$G$6:G16,1)=1,1,0),0))</x:f>
      </x:c>
      <x:c r="I16" s="16" t="str">
        <x:f>IF(A16="","",IF(AND(D16="反例",COUNTIF('问题归类'!$A$6:$A$35,B16)=1,COUNTIF('评论证据'!$AA$6:$AA$205,C16)&gt;0,COUNTIFS($B$6:B16,B16,$C$6:C16,C16,$D$6:D16,"反例")=1),1,0))</x:f>
      </x:c>
      <x:c r="J16" s="16" t="str">
        <x:f>IF(A16="","",IF(COUNTIF('问题归类'!$A$6:$A$35,B16)&lt;&gt;1,"问题编号缺失或重复",IF(COUNTIF('评论证据'!$D$6:$D$205,C16)=0,"评论编号缺失",IF(COUNTIFS($B$6:B16,B16,$C$6:C16,C16,$D$6:D16,D16)&gt;1,"重复关联不重复计数",""))))</x:f>
      </x:c>
    </x:row>
    <x:row r="17" ht="36" customHeight="1">
      <x:c r="A17" s="11"/>
      <x:c r="B17" s="11"/>
      <x:c r="C17" s="11"/>
      <x:c r="D17" s="11"/>
      <x:c r="E17" s="11"/>
      <x:c r="F17" s="16" t="str">
        <x:f>IF(A17="","",IF(COUNTIF('评论证据'!$AA$6:$AA$205,C17)=0,"缺可定位研究评论",INDEX('评论证据'!$E$6:$E$205,MATCH(C17,'评论证据'!$AA$6:$AA$205,0))))</x:f>
      </x:c>
      <x:c r="G17" s="16" t="str">
        <x:f>IF(A17="","",IF(AND(B17&lt;&gt;"",C17&lt;&gt;"",D17="支持",COUNTIF('问题归类'!$A$6:$A$35,B17)=1,COUNTIFS('评论证据'!$D$6:$D$205,C17,'评论证据'!$T$6:$T$205,1,'评论证据'!$C$6:$C$205,"研究")&gt;0,COUNTIFS($B$6:B17,B17,$C$6:C17,C17,$D$6:D17,"支持")=1),IF(INDEX('问题归类'!$G$6:$G$35,MATCH(B17,'问题归类'!$A$6:$A$35,0))="有效",1,0),0))</x:f>
      </x:c>
      <x:c r="H17" s="16" t="str">
        <x:f>IF(A17="","",IF(G17=1,IF(COUNTIFS($B$6:B17,B17,$F$6:F17,F17,$G$6:G17,1)=1,1,0),0))</x:f>
      </x:c>
      <x:c r="I17" s="16" t="str">
        <x:f>IF(A17="","",IF(AND(D17="反例",COUNTIF('问题归类'!$A$6:$A$35,B17)=1,COUNTIF('评论证据'!$AA$6:$AA$205,C17)&gt;0,COUNTIFS($B$6:B17,B17,$C$6:C17,C17,$D$6:D17,"反例")=1),1,0))</x:f>
      </x:c>
      <x:c r="J17" s="16" t="str">
        <x:f>IF(A17="","",IF(COUNTIF('问题归类'!$A$6:$A$35,B17)&lt;&gt;1,"问题编号缺失或重复",IF(COUNTIF('评论证据'!$D$6:$D$205,C17)=0,"评论编号缺失",IF(COUNTIFS($B$6:B17,B17,$C$6:C17,C17,$D$6:D17,D17)&gt;1,"重复关联不重复计数",""))))</x:f>
      </x:c>
    </x:row>
    <x:row r="18" ht="36" customHeight="1">
      <x:c r="A18" s="11"/>
      <x:c r="B18" s="11"/>
      <x:c r="C18" s="11"/>
      <x:c r="D18" s="11"/>
      <x:c r="E18" s="11"/>
      <x:c r="F18" s="16" t="str">
        <x:f>IF(A18="","",IF(COUNTIF('评论证据'!$AA$6:$AA$205,C18)=0,"缺可定位研究评论",INDEX('评论证据'!$E$6:$E$205,MATCH(C18,'评论证据'!$AA$6:$AA$205,0))))</x:f>
      </x:c>
      <x:c r="G18" s="16" t="str">
        <x:f>IF(A18="","",IF(AND(B18&lt;&gt;"",C18&lt;&gt;"",D18="支持",COUNTIF('问题归类'!$A$6:$A$35,B18)=1,COUNTIFS('评论证据'!$D$6:$D$205,C18,'评论证据'!$T$6:$T$205,1,'评论证据'!$C$6:$C$205,"研究")&gt;0,COUNTIFS($B$6:B18,B18,$C$6:C18,C18,$D$6:D18,"支持")=1),IF(INDEX('问题归类'!$G$6:$G$35,MATCH(B18,'问题归类'!$A$6:$A$35,0))="有效",1,0),0))</x:f>
      </x:c>
      <x:c r="H18" s="16" t="str">
        <x:f>IF(A18="","",IF(G18=1,IF(COUNTIFS($B$6:B18,B18,$F$6:F18,F18,$G$6:G18,1)=1,1,0),0))</x:f>
      </x:c>
      <x:c r="I18" s="16" t="str">
        <x:f>IF(A18="","",IF(AND(D18="反例",COUNTIF('问题归类'!$A$6:$A$35,B18)=1,COUNTIF('评论证据'!$AA$6:$AA$205,C18)&gt;0,COUNTIFS($B$6:B18,B18,$C$6:C18,C18,$D$6:D18,"反例")=1),1,0))</x:f>
      </x:c>
      <x:c r="J18" s="16" t="str">
        <x:f>IF(A18="","",IF(COUNTIF('问题归类'!$A$6:$A$35,B18)&lt;&gt;1,"问题编号缺失或重复",IF(COUNTIF('评论证据'!$D$6:$D$205,C18)=0,"评论编号缺失",IF(COUNTIFS($B$6:B18,B18,$C$6:C18,C18,$D$6:D18,D18)&gt;1,"重复关联不重复计数",""))))</x:f>
      </x:c>
    </x:row>
    <x:row r="19" ht="36" customHeight="1">
      <x:c r="A19" s="11"/>
      <x:c r="B19" s="11"/>
      <x:c r="C19" s="11"/>
      <x:c r="D19" s="11"/>
      <x:c r="E19" s="11"/>
      <x:c r="F19" s="16" t="str">
        <x:f>IF(A19="","",IF(COUNTIF('评论证据'!$AA$6:$AA$205,C19)=0,"缺可定位研究评论",INDEX('评论证据'!$E$6:$E$205,MATCH(C19,'评论证据'!$AA$6:$AA$205,0))))</x:f>
      </x:c>
      <x:c r="G19" s="16" t="str">
        <x:f>IF(A19="","",IF(AND(B19&lt;&gt;"",C19&lt;&gt;"",D19="支持",COUNTIF('问题归类'!$A$6:$A$35,B19)=1,COUNTIFS('评论证据'!$D$6:$D$205,C19,'评论证据'!$T$6:$T$205,1,'评论证据'!$C$6:$C$205,"研究")&gt;0,COUNTIFS($B$6:B19,B19,$C$6:C19,C19,$D$6:D19,"支持")=1),IF(INDEX('问题归类'!$G$6:$G$35,MATCH(B19,'问题归类'!$A$6:$A$35,0))="有效",1,0),0))</x:f>
      </x:c>
      <x:c r="H19" s="16" t="str">
        <x:f>IF(A19="","",IF(G19=1,IF(COUNTIFS($B$6:B19,B19,$F$6:F19,F19,$G$6:G19,1)=1,1,0),0))</x:f>
      </x:c>
      <x:c r="I19" s="16" t="str">
        <x:f>IF(A19="","",IF(AND(D19="反例",COUNTIF('问题归类'!$A$6:$A$35,B19)=1,COUNTIF('评论证据'!$AA$6:$AA$205,C19)&gt;0,COUNTIFS($B$6:B19,B19,$C$6:C19,C19,$D$6:D19,"反例")=1),1,0))</x:f>
      </x:c>
      <x:c r="J19" s="16" t="str">
        <x:f>IF(A19="","",IF(COUNTIF('问题归类'!$A$6:$A$35,B19)&lt;&gt;1,"问题编号缺失或重复",IF(COUNTIF('评论证据'!$D$6:$D$205,C19)=0,"评论编号缺失",IF(COUNTIFS($B$6:B19,B19,$C$6:C19,C19,$D$6:D19,D19)&gt;1,"重复关联不重复计数",""))))</x:f>
      </x:c>
    </x:row>
    <x:row r="20" ht="36" customHeight="1">
      <x:c r="A20" s="11"/>
      <x:c r="B20" s="11"/>
      <x:c r="C20" s="11"/>
      <x:c r="D20" s="11"/>
      <x:c r="E20" s="11"/>
      <x:c r="F20" s="16" t="str">
        <x:f>IF(A20="","",IF(COUNTIF('评论证据'!$AA$6:$AA$205,C20)=0,"缺可定位研究评论",INDEX('评论证据'!$E$6:$E$205,MATCH(C20,'评论证据'!$AA$6:$AA$205,0))))</x:f>
      </x:c>
      <x:c r="G20" s="16" t="str">
        <x:f>IF(A20="","",IF(AND(B20&lt;&gt;"",C20&lt;&gt;"",D20="支持",COUNTIF('问题归类'!$A$6:$A$35,B20)=1,COUNTIFS('评论证据'!$D$6:$D$205,C20,'评论证据'!$T$6:$T$205,1,'评论证据'!$C$6:$C$205,"研究")&gt;0,COUNTIFS($B$6:B20,B20,$C$6:C20,C20,$D$6:D20,"支持")=1),IF(INDEX('问题归类'!$G$6:$G$35,MATCH(B20,'问题归类'!$A$6:$A$35,0))="有效",1,0),0))</x:f>
      </x:c>
      <x:c r="H20" s="16" t="str">
        <x:f>IF(A20="","",IF(G20=1,IF(COUNTIFS($B$6:B20,B20,$F$6:F20,F20,$G$6:G20,1)=1,1,0),0))</x:f>
      </x:c>
      <x:c r="I20" s="16" t="str">
        <x:f>IF(A20="","",IF(AND(D20="反例",COUNTIF('问题归类'!$A$6:$A$35,B20)=1,COUNTIF('评论证据'!$AA$6:$AA$205,C20)&gt;0,COUNTIFS($B$6:B20,B20,$C$6:C20,C20,$D$6:D20,"反例")=1),1,0))</x:f>
      </x:c>
      <x:c r="J20" s="16" t="str">
        <x:f>IF(A20="","",IF(COUNTIF('问题归类'!$A$6:$A$35,B20)&lt;&gt;1,"问题编号缺失或重复",IF(COUNTIF('评论证据'!$D$6:$D$205,C20)=0,"评论编号缺失",IF(COUNTIFS($B$6:B20,B20,$C$6:C20,C20,$D$6:D20,D20)&gt;1,"重复关联不重复计数",""))))</x:f>
      </x:c>
    </x:row>
    <x:row r="21" ht="36" customHeight="1">
      <x:c r="A21" s="11"/>
      <x:c r="B21" s="11"/>
      <x:c r="C21" s="11"/>
      <x:c r="D21" s="11"/>
      <x:c r="E21" s="11"/>
      <x:c r="F21" s="16" t="str">
        <x:f>IF(A21="","",IF(COUNTIF('评论证据'!$AA$6:$AA$205,C21)=0,"缺可定位研究评论",INDEX('评论证据'!$E$6:$E$205,MATCH(C21,'评论证据'!$AA$6:$AA$205,0))))</x:f>
      </x:c>
      <x:c r="G21" s="16" t="str">
        <x:f>IF(A21="","",IF(AND(B21&lt;&gt;"",C21&lt;&gt;"",D21="支持",COUNTIF('问题归类'!$A$6:$A$35,B21)=1,COUNTIFS('评论证据'!$D$6:$D$205,C21,'评论证据'!$T$6:$T$205,1,'评论证据'!$C$6:$C$205,"研究")&gt;0,COUNTIFS($B$6:B21,B21,$C$6:C21,C21,$D$6:D21,"支持")=1),IF(INDEX('问题归类'!$G$6:$G$35,MATCH(B21,'问题归类'!$A$6:$A$35,0))="有效",1,0),0))</x:f>
      </x:c>
      <x:c r="H21" s="16" t="str">
        <x:f>IF(A21="","",IF(G21=1,IF(COUNTIFS($B$6:B21,B21,$F$6:F21,F21,$G$6:G21,1)=1,1,0),0))</x:f>
      </x:c>
      <x:c r="I21" s="16" t="str">
        <x:f>IF(A21="","",IF(AND(D21="反例",COUNTIF('问题归类'!$A$6:$A$35,B21)=1,COUNTIF('评论证据'!$AA$6:$AA$205,C21)&gt;0,COUNTIFS($B$6:B21,B21,$C$6:C21,C21,$D$6:D21,"反例")=1),1,0))</x:f>
      </x:c>
      <x:c r="J21" s="16" t="str">
        <x:f>IF(A21="","",IF(COUNTIF('问题归类'!$A$6:$A$35,B21)&lt;&gt;1,"问题编号缺失或重复",IF(COUNTIF('评论证据'!$D$6:$D$205,C21)=0,"评论编号缺失",IF(COUNTIFS($B$6:B21,B21,$C$6:C21,C21,$D$6:D21,D21)&gt;1,"重复关联不重复计数",""))))</x:f>
      </x:c>
    </x:row>
    <x:row r="22" ht="36" customHeight="1">
      <x:c r="A22" s="11"/>
      <x:c r="B22" s="11"/>
      <x:c r="C22" s="11"/>
      <x:c r="D22" s="11"/>
      <x:c r="E22" s="11"/>
      <x:c r="F22" s="16" t="str">
        <x:f>IF(A22="","",IF(COUNTIF('评论证据'!$AA$6:$AA$205,C22)=0,"缺可定位研究评论",INDEX('评论证据'!$E$6:$E$205,MATCH(C22,'评论证据'!$AA$6:$AA$205,0))))</x:f>
      </x:c>
      <x:c r="G22" s="16" t="str">
        <x:f>IF(A22="","",IF(AND(B22&lt;&gt;"",C22&lt;&gt;"",D22="支持",COUNTIF('问题归类'!$A$6:$A$35,B22)=1,COUNTIFS('评论证据'!$D$6:$D$205,C22,'评论证据'!$T$6:$T$205,1,'评论证据'!$C$6:$C$205,"研究")&gt;0,COUNTIFS($B$6:B22,B22,$C$6:C22,C22,$D$6:D22,"支持")=1),IF(INDEX('问题归类'!$G$6:$G$35,MATCH(B22,'问题归类'!$A$6:$A$35,0))="有效",1,0),0))</x:f>
      </x:c>
      <x:c r="H22" s="16" t="str">
        <x:f>IF(A22="","",IF(G22=1,IF(COUNTIFS($B$6:B22,B22,$F$6:F22,F22,$G$6:G22,1)=1,1,0),0))</x:f>
      </x:c>
      <x:c r="I22" s="16" t="str">
        <x:f>IF(A22="","",IF(AND(D22="反例",COUNTIF('问题归类'!$A$6:$A$35,B22)=1,COUNTIF('评论证据'!$AA$6:$AA$205,C22)&gt;0,COUNTIFS($B$6:B22,B22,$C$6:C22,C22,$D$6:D22,"反例")=1),1,0))</x:f>
      </x:c>
      <x:c r="J22" s="16" t="str">
        <x:f>IF(A22="","",IF(COUNTIF('问题归类'!$A$6:$A$35,B22)&lt;&gt;1,"问题编号缺失或重复",IF(COUNTIF('评论证据'!$D$6:$D$205,C22)=0,"评论编号缺失",IF(COUNTIFS($B$6:B22,B22,$C$6:C22,C22,$D$6:D22,D22)&gt;1,"重复关联不重复计数",""))))</x:f>
      </x:c>
    </x:row>
    <x:row r="23" ht="36" customHeight="1">
      <x:c r="A23" s="11"/>
      <x:c r="B23" s="11"/>
      <x:c r="C23" s="11"/>
      <x:c r="D23" s="11"/>
      <x:c r="E23" s="11"/>
      <x:c r="F23" s="16" t="str">
        <x:f>IF(A23="","",IF(COUNTIF('评论证据'!$AA$6:$AA$205,C23)=0,"缺可定位研究评论",INDEX('评论证据'!$E$6:$E$205,MATCH(C23,'评论证据'!$AA$6:$AA$205,0))))</x:f>
      </x:c>
      <x:c r="G23" s="16" t="str">
        <x:f>IF(A23="","",IF(AND(B23&lt;&gt;"",C23&lt;&gt;"",D23="支持",COUNTIF('问题归类'!$A$6:$A$35,B23)=1,COUNTIFS('评论证据'!$D$6:$D$205,C23,'评论证据'!$T$6:$T$205,1,'评论证据'!$C$6:$C$205,"研究")&gt;0,COUNTIFS($B$6:B23,B23,$C$6:C23,C23,$D$6:D23,"支持")=1),IF(INDEX('问题归类'!$G$6:$G$35,MATCH(B23,'问题归类'!$A$6:$A$35,0))="有效",1,0),0))</x:f>
      </x:c>
      <x:c r="H23" s="16" t="str">
        <x:f>IF(A23="","",IF(G23=1,IF(COUNTIFS($B$6:B23,B23,$F$6:F23,F23,$G$6:G23,1)=1,1,0),0))</x:f>
      </x:c>
      <x:c r="I23" s="16" t="str">
        <x:f>IF(A23="","",IF(AND(D23="反例",COUNTIF('问题归类'!$A$6:$A$35,B23)=1,COUNTIF('评论证据'!$AA$6:$AA$205,C23)&gt;0,COUNTIFS($B$6:B23,B23,$C$6:C23,C23,$D$6:D23,"反例")=1),1,0))</x:f>
      </x:c>
      <x:c r="J23" s="16" t="str">
        <x:f>IF(A23="","",IF(COUNTIF('问题归类'!$A$6:$A$35,B23)&lt;&gt;1,"问题编号缺失或重复",IF(COUNTIF('评论证据'!$D$6:$D$205,C23)=0,"评论编号缺失",IF(COUNTIFS($B$6:B23,B23,$C$6:C23,C23,$D$6:D23,D23)&gt;1,"重复关联不重复计数",""))))</x:f>
      </x:c>
    </x:row>
    <x:row r="24" ht="36" customHeight="1">
      <x:c r="A24" s="11"/>
      <x:c r="B24" s="11"/>
      <x:c r="C24" s="11"/>
      <x:c r="D24" s="11"/>
      <x:c r="E24" s="11"/>
      <x:c r="F24" s="16" t="str">
        <x:f>IF(A24="","",IF(COUNTIF('评论证据'!$AA$6:$AA$205,C24)=0,"缺可定位研究评论",INDEX('评论证据'!$E$6:$E$205,MATCH(C24,'评论证据'!$AA$6:$AA$205,0))))</x:f>
      </x:c>
      <x:c r="G24" s="16" t="str">
        <x:f>IF(A24="","",IF(AND(B24&lt;&gt;"",C24&lt;&gt;"",D24="支持",COUNTIF('问题归类'!$A$6:$A$35,B24)=1,COUNTIFS('评论证据'!$D$6:$D$205,C24,'评论证据'!$T$6:$T$205,1,'评论证据'!$C$6:$C$205,"研究")&gt;0,COUNTIFS($B$6:B24,B24,$C$6:C24,C24,$D$6:D24,"支持")=1),IF(INDEX('问题归类'!$G$6:$G$35,MATCH(B24,'问题归类'!$A$6:$A$35,0))="有效",1,0),0))</x:f>
      </x:c>
      <x:c r="H24" s="16" t="str">
        <x:f>IF(A24="","",IF(G24=1,IF(COUNTIFS($B$6:B24,B24,$F$6:F24,F24,$G$6:G24,1)=1,1,0),0))</x:f>
      </x:c>
      <x:c r="I24" s="16" t="str">
        <x:f>IF(A24="","",IF(AND(D24="反例",COUNTIF('问题归类'!$A$6:$A$35,B24)=1,COUNTIF('评论证据'!$AA$6:$AA$205,C24)&gt;0,COUNTIFS($B$6:B24,B24,$C$6:C24,C24,$D$6:D24,"反例")=1),1,0))</x:f>
      </x:c>
      <x:c r="J24" s="16" t="str">
        <x:f>IF(A24="","",IF(COUNTIF('问题归类'!$A$6:$A$35,B24)&lt;&gt;1,"问题编号缺失或重复",IF(COUNTIF('评论证据'!$D$6:$D$205,C24)=0,"评论编号缺失",IF(COUNTIFS($B$6:B24,B24,$C$6:C24,C24,$D$6:D24,D24)&gt;1,"重复关联不重复计数",""))))</x:f>
      </x:c>
    </x:row>
    <x:row r="25" ht="36" customHeight="1">
      <x:c r="A25" s="11"/>
      <x:c r="B25" s="11"/>
      <x:c r="C25" s="11"/>
      <x:c r="D25" s="11"/>
      <x:c r="E25" s="11"/>
      <x:c r="F25" s="16" t="str">
        <x:f>IF(A25="","",IF(COUNTIF('评论证据'!$AA$6:$AA$205,C25)=0,"缺可定位研究评论",INDEX('评论证据'!$E$6:$E$205,MATCH(C25,'评论证据'!$AA$6:$AA$205,0))))</x:f>
      </x:c>
      <x:c r="G25" s="16" t="str">
        <x:f>IF(A25="","",IF(AND(B25&lt;&gt;"",C25&lt;&gt;"",D25="支持",COUNTIF('问题归类'!$A$6:$A$35,B25)=1,COUNTIFS('评论证据'!$D$6:$D$205,C25,'评论证据'!$T$6:$T$205,1,'评论证据'!$C$6:$C$205,"研究")&gt;0,COUNTIFS($B$6:B25,B25,$C$6:C25,C25,$D$6:D25,"支持")=1),IF(INDEX('问题归类'!$G$6:$G$35,MATCH(B25,'问题归类'!$A$6:$A$35,0))="有效",1,0),0))</x:f>
      </x:c>
      <x:c r="H25" s="16" t="str">
        <x:f>IF(A25="","",IF(G25=1,IF(COUNTIFS($B$6:B25,B25,$F$6:F25,F25,$G$6:G25,1)=1,1,0),0))</x:f>
      </x:c>
      <x:c r="I25" s="16" t="str">
        <x:f>IF(A25="","",IF(AND(D25="反例",COUNTIF('问题归类'!$A$6:$A$35,B25)=1,COUNTIF('评论证据'!$AA$6:$AA$205,C25)&gt;0,COUNTIFS($B$6:B25,B25,$C$6:C25,C25,$D$6:D25,"反例")=1),1,0))</x:f>
      </x:c>
      <x:c r="J25" s="16" t="str">
        <x:f>IF(A25="","",IF(COUNTIF('问题归类'!$A$6:$A$35,B25)&lt;&gt;1,"问题编号缺失或重复",IF(COUNTIF('评论证据'!$D$6:$D$205,C25)=0,"评论编号缺失",IF(COUNTIFS($B$6:B25,B25,$C$6:C25,C25,$D$6:D25,D25)&gt;1,"重复关联不重复计数",""))))</x:f>
      </x:c>
    </x:row>
    <x:row r="26" ht="36" customHeight="1">
      <x:c r="A26" s="11"/>
      <x:c r="B26" s="11"/>
      <x:c r="C26" s="11"/>
      <x:c r="D26" s="11"/>
      <x:c r="E26" s="11"/>
      <x:c r="F26" s="16" t="str">
        <x:f>IF(A26="","",IF(COUNTIF('评论证据'!$AA$6:$AA$205,C26)=0,"缺可定位研究评论",INDEX('评论证据'!$E$6:$E$205,MATCH(C26,'评论证据'!$AA$6:$AA$205,0))))</x:f>
      </x:c>
      <x:c r="G26" s="16" t="str">
        <x:f>IF(A26="","",IF(AND(B26&lt;&gt;"",C26&lt;&gt;"",D26="支持",COUNTIF('问题归类'!$A$6:$A$35,B26)=1,COUNTIFS('评论证据'!$D$6:$D$205,C26,'评论证据'!$T$6:$T$205,1,'评论证据'!$C$6:$C$205,"研究")&gt;0,COUNTIFS($B$6:B26,B26,$C$6:C26,C26,$D$6:D26,"支持")=1),IF(INDEX('问题归类'!$G$6:$G$35,MATCH(B26,'问题归类'!$A$6:$A$35,0))="有效",1,0),0))</x:f>
      </x:c>
      <x:c r="H26" s="16" t="str">
        <x:f>IF(A26="","",IF(G26=1,IF(COUNTIFS($B$6:B26,B26,$F$6:F26,F26,$G$6:G26,1)=1,1,0),0))</x:f>
      </x:c>
      <x:c r="I26" s="16" t="str">
        <x:f>IF(A26="","",IF(AND(D26="反例",COUNTIF('问题归类'!$A$6:$A$35,B26)=1,COUNTIF('评论证据'!$AA$6:$AA$205,C26)&gt;0,COUNTIFS($B$6:B26,B26,$C$6:C26,C26,$D$6:D26,"反例")=1),1,0))</x:f>
      </x:c>
      <x:c r="J26" s="16" t="str">
        <x:f>IF(A26="","",IF(COUNTIF('问题归类'!$A$6:$A$35,B26)&lt;&gt;1,"问题编号缺失或重复",IF(COUNTIF('评论证据'!$D$6:$D$205,C26)=0,"评论编号缺失",IF(COUNTIFS($B$6:B26,B26,$C$6:C26,C26,$D$6:D26,D26)&gt;1,"重复关联不重复计数",""))))</x:f>
      </x:c>
    </x:row>
    <x:row r="27" ht="36" customHeight="1">
      <x:c r="A27" s="11"/>
      <x:c r="B27" s="11"/>
      <x:c r="C27" s="11"/>
      <x:c r="D27" s="11"/>
      <x:c r="E27" s="11"/>
      <x:c r="F27" s="16" t="str">
        <x:f>IF(A27="","",IF(COUNTIF('评论证据'!$AA$6:$AA$205,C27)=0,"缺可定位研究评论",INDEX('评论证据'!$E$6:$E$205,MATCH(C27,'评论证据'!$AA$6:$AA$205,0))))</x:f>
      </x:c>
      <x:c r="G27" s="16" t="str">
        <x:f>IF(A27="","",IF(AND(B27&lt;&gt;"",C27&lt;&gt;"",D27="支持",COUNTIF('问题归类'!$A$6:$A$35,B27)=1,COUNTIFS('评论证据'!$D$6:$D$205,C27,'评论证据'!$T$6:$T$205,1,'评论证据'!$C$6:$C$205,"研究")&gt;0,COUNTIFS($B$6:B27,B27,$C$6:C27,C27,$D$6:D27,"支持")=1),IF(INDEX('问题归类'!$G$6:$G$35,MATCH(B27,'问题归类'!$A$6:$A$35,0))="有效",1,0),0))</x:f>
      </x:c>
      <x:c r="H27" s="16" t="str">
        <x:f>IF(A27="","",IF(G27=1,IF(COUNTIFS($B$6:B27,B27,$F$6:F27,F27,$G$6:G27,1)=1,1,0),0))</x:f>
      </x:c>
      <x:c r="I27" s="16" t="str">
        <x:f>IF(A27="","",IF(AND(D27="反例",COUNTIF('问题归类'!$A$6:$A$35,B27)=1,COUNTIF('评论证据'!$AA$6:$AA$205,C27)&gt;0,COUNTIFS($B$6:B27,B27,$C$6:C27,C27,$D$6:D27,"反例")=1),1,0))</x:f>
      </x:c>
      <x:c r="J27" s="16" t="str">
        <x:f>IF(A27="","",IF(COUNTIF('问题归类'!$A$6:$A$35,B27)&lt;&gt;1,"问题编号缺失或重复",IF(COUNTIF('评论证据'!$D$6:$D$205,C27)=0,"评论编号缺失",IF(COUNTIFS($B$6:B27,B27,$C$6:C27,C27,$D$6:D27,D27)&gt;1,"重复关联不重复计数",""))))</x:f>
      </x:c>
    </x:row>
    <x:row r="28" ht="36" customHeight="1">
      <x:c r="A28" s="11"/>
      <x:c r="B28" s="11"/>
      <x:c r="C28" s="11"/>
      <x:c r="D28" s="11"/>
      <x:c r="E28" s="11"/>
      <x:c r="F28" s="16" t="str">
        <x:f>IF(A28="","",IF(COUNTIF('评论证据'!$AA$6:$AA$205,C28)=0,"缺可定位研究评论",INDEX('评论证据'!$E$6:$E$205,MATCH(C28,'评论证据'!$AA$6:$AA$205,0))))</x:f>
      </x:c>
      <x:c r="G28" s="16" t="str">
        <x:f>IF(A28="","",IF(AND(B28&lt;&gt;"",C28&lt;&gt;"",D28="支持",COUNTIF('问题归类'!$A$6:$A$35,B28)=1,COUNTIFS('评论证据'!$D$6:$D$205,C28,'评论证据'!$T$6:$T$205,1,'评论证据'!$C$6:$C$205,"研究")&gt;0,COUNTIFS($B$6:B28,B28,$C$6:C28,C28,$D$6:D28,"支持")=1),IF(INDEX('问题归类'!$G$6:$G$35,MATCH(B28,'问题归类'!$A$6:$A$35,0))="有效",1,0),0))</x:f>
      </x:c>
      <x:c r="H28" s="16" t="str">
        <x:f>IF(A28="","",IF(G28=1,IF(COUNTIFS($B$6:B28,B28,$F$6:F28,F28,$G$6:G28,1)=1,1,0),0))</x:f>
      </x:c>
      <x:c r="I28" s="16" t="str">
        <x:f>IF(A28="","",IF(AND(D28="反例",COUNTIF('问题归类'!$A$6:$A$35,B28)=1,COUNTIF('评论证据'!$AA$6:$AA$205,C28)&gt;0,COUNTIFS($B$6:B28,B28,$C$6:C28,C28,$D$6:D28,"反例")=1),1,0))</x:f>
      </x:c>
      <x:c r="J28" s="16" t="str">
        <x:f>IF(A28="","",IF(COUNTIF('问题归类'!$A$6:$A$35,B28)&lt;&gt;1,"问题编号缺失或重复",IF(COUNTIF('评论证据'!$D$6:$D$205,C28)=0,"评论编号缺失",IF(COUNTIFS($B$6:B28,B28,$C$6:C28,C28,$D$6:D28,D28)&gt;1,"重复关联不重复计数",""))))</x:f>
      </x:c>
    </x:row>
    <x:row r="29" ht="36" customHeight="1">
      <x:c r="A29" s="11"/>
      <x:c r="B29" s="11"/>
      <x:c r="C29" s="11"/>
      <x:c r="D29" s="11"/>
      <x:c r="E29" s="11"/>
      <x:c r="F29" s="16" t="str">
        <x:f>IF(A29="","",IF(COUNTIF('评论证据'!$AA$6:$AA$205,C29)=0,"缺可定位研究评论",INDEX('评论证据'!$E$6:$E$205,MATCH(C29,'评论证据'!$AA$6:$AA$205,0))))</x:f>
      </x:c>
      <x:c r="G29" s="16" t="str">
        <x:f>IF(A29="","",IF(AND(B29&lt;&gt;"",C29&lt;&gt;"",D29="支持",COUNTIF('问题归类'!$A$6:$A$35,B29)=1,COUNTIFS('评论证据'!$D$6:$D$205,C29,'评论证据'!$T$6:$T$205,1,'评论证据'!$C$6:$C$205,"研究")&gt;0,COUNTIFS($B$6:B29,B29,$C$6:C29,C29,$D$6:D29,"支持")=1),IF(INDEX('问题归类'!$G$6:$G$35,MATCH(B29,'问题归类'!$A$6:$A$35,0))="有效",1,0),0))</x:f>
      </x:c>
      <x:c r="H29" s="16" t="str">
        <x:f>IF(A29="","",IF(G29=1,IF(COUNTIFS($B$6:B29,B29,$F$6:F29,F29,$G$6:G29,1)=1,1,0),0))</x:f>
      </x:c>
      <x:c r="I29" s="16" t="str">
        <x:f>IF(A29="","",IF(AND(D29="反例",COUNTIF('问题归类'!$A$6:$A$35,B29)=1,COUNTIF('评论证据'!$AA$6:$AA$205,C29)&gt;0,COUNTIFS($B$6:B29,B29,$C$6:C29,C29,$D$6:D29,"反例")=1),1,0))</x:f>
      </x:c>
      <x:c r="J29" s="16" t="str">
        <x:f>IF(A29="","",IF(COUNTIF('问题归类'!$A$6:$A$35,B29)&lt;&gt;1,"问题编号缺失或重复",IF(COUNTIF('评论证据'!$D$6:$D$205,C29)=0,"评论编号缺失",IF(COUNTIFS($B$6:B29,B29,$C$6:C29,C29,$D$6:D29,D29)&gt;1,"重复关联不重复计数",""))))</x:f>
      </x:c>
    </x:row>
    <x:row r="30" ht="36" customHeight="1">
      <x:c r="A30" s="11"/>
      <x:c r="B30" s="11"/>
      <x:c r="C30" s="11"/>
      <x:c r="D30" s="11"/>
      <x:c r="E30" s="11"/>
      <x:c r="F30" s="16" t="str">
        <x:f>IF(A30="","",IF(COUNTIF('评论证据'!$AA$6:$AA$205,C30)=0,"缺可定位研究评论",INDEX('评论证据'!$E$6:$E$205,MATCH(C30,'评论证据'!$AA$6:$AA$205,0))))</x:f>
      </x:c>
      <x:c r="G30" s="16" t="str">
        <x:f>IF(A30="","",IF(AND(B30&lt;&gt;"",C30&lt;&gt;"",D30="支持",COUNTIF('问题归类'!$A$6:$A$35,B30)=1,COUNTIFS('评论证据'!$D$6:$D$205,C30,'评论证据'!$T$6:$T$205,1,'评论证据'!$C$6:$C$205,"研究")&gt;0,COUNTIFS($B$6:B30,B30,$C$6:C30,C30,$D$6:D30,"支持")=1),IF(INDEX('问题归类'!$G$6:$G$35,MATCH(B30,'问题归类'!$A$6:$A$35,0))="有效",1,0),0))</x:f>
      </x:c>
      <x:c r="H30" s="16" t="str">
        <x:f>IF(A30="","",IF(G30=1,IF(COUNTIFS($B$6:B30,B30,$F$6:F30,F30,$G$6:G30,1)=1,1,0),0))</x:f>
      </x:c>
      <x:c r="I30" s="16" t="str">
        <x:f>IF(A30="","",IF(AND(D30="反例",COUNTIF('问题归类'!$A$6:$A$35,B30)=1,COUNTIF('评论证据'!$AA$6:$AA$205,C30)&gt;0,COUNTIFS($B$6:B30,B30,$C$6:C30,C30,$D$6:D30,"反例")=1),1,0))</x:f>
      </x:c>
      <x:c r="J30" s="16" t="str">
        <x:f>IF(A30="","",IF(COUNTIF('问题归类'!$A$6:$A$35,B30)&lt;&gt;1,"问题编号缺失或重复",IF(COUNTIF('评论证据'!$D$6:$D$205,C30)=0,"评论编号缺失",IF(COUNTIFS($B$6:B30,B30,$C$6:C30,C30,$D$6:D30,D30)&gt;1,"重复关联不重复计数",""))))</x:f>
      </x:c>
    </x:row>
    <x:row r="31" ht="36" customHeight="1">
      <x:c r="A31" s="11"/>
      <x:c r="B31" s="11"/>
      <x:c r="C31" s="11"/>
      <x:c r="D31" s="11"/>
      <x:c r="E31" s="11"/>
      <x:c r="F31" s="16" t="str">
        <x:f>IF(A31="","",IF(COUNTIF('评论证据'!$AA$6:$AA$205,C31)=0,"缺可定位研究评论",INDEX('评论证据'!$E$6:$E$205,MATCH(C31,'评论证据'!$AA$6:$AA$205,0))))</x:f>
      </x:c>
      <x:c r="G31" s="16" t="str">
        <x:f>IF(A31="","",IF(AND(B31&lt;&gt;"",C31&lt;&gt;"",D31="支持",COUNTIF('问题归类'!$A$6:$A$35,B31)=1,COUNTIFS('评论证据'!$D$6:$D$205,C31,'评论证据'!$T$6:$T$205,1,'评论证据'!$C$6:$C$205,"研究")&gt;0,COUNTIFS($B$6:B31,B31,$C$6:C31,C31,$D$6:D31,"支持")=1),IF(INDEX('问题归类'!$G$6:$G$35,MATCH(B31,'问题归类'!$A$6:$A$35,0))="有效",1,0),0))</x:f>
      </x:c>
      <x:c r="H31" s="16" t="str">
        <x:f>IF(A31="","",IF(G31=1,IF(COUNTIFS($B$6:B31,B31,$F$6:F31,F31,$G$6:G31,1)=1,1,0),0))</x:f>
      </x:c>
      <x:c r="I31" s="16" t="str">
        <x:f>IF(A31="","",IF(AND(D31="反例",COUNTIF('问题归类'!$A$6:$A$35,B31)=1,COUNTIF('评论证据'!$AA$6:$AA$205,C31)&gt;0,COUNTIFS($B$6:B31,B31,$C$6:C31,C31,$D$6:D31,"反例")=1),1,0))</x:f>
      </x:c>
      <x:c r="J31" s="16" t="str">
        <x:f>IF(A31="","",IF(COUNTIF('问题归类'!$A$6:$A$35,B31)&lt;&gt;1,"问题编号缺失或重复",IF(COUNTIF('评论证据'!$D$6:$D$205,C31)=0,"评论编号缺失",IF(COUNTIFS($B$6:B31,B31,$C$6:C31,C31,$D$6:D31,D31)&gt;1,"重复关联不重复计数",""))))</x:f>
      </x:c>
    </x:row>
    <x:row r="32" ht="36" customHeight="1">
      <x:c r="A32" s="11"/>
      <x:c r="B32" s="11"/>
      <x:c r="C32" s="11"/>
      <x:c r="D32" s="11"/>
      <x:c r="E32" s="11"/>
      <x:c r="F32" s="16" t="str">
        <x:f>IF(A32="","",IF(COUNTIF('评论证据'!$AA$6:$AA$205,C32)=0,"缺可定位研究评论",INDEX('评论证据'!$E$6:$E$205,MATCH(C32,'评论证据'!$AA$6:$AA$205,0))))</x:f>
      </x:c>
      <x:c r="G32" s="16" t="str">
        <x:f>IF(A32="","",IF(AND(B32&lt;&gt;"",C32&lt;&gt;"",D32="支持",COUNTIF('问题归类'!$A$6:$A$35,B32)=1,COUNTIFS('评论证据'!$D$6:$D$205,C32,'评论证据'!$T$6:$T$205,1,'评论证据'!$C$6:$C$205,"研究")&gt;0,COUNTIFS($B$6:B32,B32,$C$6:C32,C32,$D$6:D32,"支持")=1),IF(INDEX('问题归类'!$G$6:$G$35,MATCH(B32,'问题归类'!$A$6:$A$35,0))="有效",1,0),0))</x:f>
      </x:c>
      <x:c r="H32" s="16" t="str">
        <x:f>IF(A32="","",IF(G32=1,IF(COUNTIFS($B$6:B32,B32,$F$6:F32,F32,$G$6:G32,1)=1,1,0),0))</x:f>
      </x:c>
      <x:c r="I32" s="16" t="str">
        <x:f>IF(A32="","",IF(AND(D32="反例",COUNTIF('问题归类'!$A$6:$A$35,B32)=1,COUNTIF('评论证据'!$AA$6:$AA$205,C32)&gt;0,COUNTIFS($B$6:B32,B32,$C$6:C32,C32,$D$6:D32,"反例")=1),1,0))</x:f>
      </x:c>
      <x:c r="J32" s="16" t="str">
        <x:f>IF(A32="","",IF(COUNTIF('问题归类'!$A$6:$A$35,B32)&lt;&gt;1,"问题编号缺失或重复",IF(COUNTIF('评论证据'!$D$6:$D$205,C32)=0,"评论编号缺失",IF(COUNTIFS($B$6:B32,B32,$C$6:C32,C32,$D$6:D32,D32)&gt;1,"重复关联不重复计数",""))))</x:f>
      </x:c>
    </x:row>
    <x:row r="33" ht="36" customHeight="1">
      <x:c r="A33" s="11"/>
      <x:c r="B33" s="11"/>
      <x:c r="C33" s="11"/>
      <x:c r="D33" s="11"/>
      <x:c r="E33" s="11"/>
      <x:c r="F33" s="16" t="str">
        <x:f>IF(A33="","",IF(COUNTIF('评论证据'!$AA$6:$AA$205,C33)=0,"缺可定位研究评论",INDEX('评论证据'!$E$6:$E$205,MATCH(C33,'评论证据'!$AA$6:$AA$205,0))))</x:f>
      </x:c>
      <x:c r="G33" s="16" t="str">
        <x:f>IF(A33="","",IF(AND(B33&lt;&gt;"",C33&lt;&gt;"",D33="支持",COUNTIF('问题归类'!$A$6:$A$35,B33)=1,COUNTIFS('评论证据'!$D$6:$D$205,C33,'评论证据'!$T$6:$T$205,1,'评论证据'!$C$6:$C$205,"研究")&gt;0,COUNTIFS($B$6:B33,B33,$C$6:C33,C33,$D$6:D33,"支持")=1),IF(INDEX('问题归类'!$G$6:$G$35,MATCH(B33,'问题归类'!$A$6:$A$35,0))="有效",1,0),0))</x:f>
      </x:c>
      <x:c r="H33" s="16" t="str">
        <x:f>IF(A33="","",IF(G33=1,IF(COUNTIFS($B$6:B33,B33,$F$6:F33,F33,$G$6:G33,1)=1,1,0),0))</x:f>
      </x:c>
      <x:c r="I33" s="16" t="str">
        <x:f>IF(A33="","",IF(AND(D33="反例",COUNTIF('问题归类'!$A$6:$A$35,B33)=1,COUNTIF('评论证据'!$AA$6:$AA$205,C33)&gt;0,COUNTIFS($B$6:B33,B33,$C$6:C33,C33,$D$6:D33,"反例")=1),1,0))</x:f>
      </x:c>
      <x:c r="J33" s="16" t="str">
        <x:f>IF(A33="","",IF(COUNTIF('问题归类'!$A$6:$A$35,B33)&lt;&gt;1,"问题编号缺失或重复",IF(COUNTIF('评论证据'!$D$6:$D$205,C33)=0,"评论编号缺失",IF(COUNTIFS($B$6:B33,B33,$C$6:C33,C33,$D$6:D33,D33)&gt;1,"重复关联不重复计数",""))))</x:f>
      </x:c>
    </x:row>
    <x:row r="34" ht="36" customHeight="1">
      <x:c r="A34" s="11"/>
      <x:c r="B34" s="11"/>
      <x:c r="C34" s="11"/>
      <x:c r="D34" s="11"/>
      <x:c r="E34" s="11"/>
      <x:c r="F34" s="16" t="str">
        <x:f>IF(A34="","",IF(COUNTIF('评论证据'!$AA$6:$AA$205,C34)=0,"缺可定位研究评论",INDEX('评论证据'!$E$6:$E$205,MATCH(C34,'评论证据'!$AA$6:$AA$205,0))))</x:f>
      </x:c>
      <x:c r="G34" s="16" t="str">
        <x:f>IF(A34="","",IF(AND(B34&lt;&gt;"",C34&lt;&gt;"",D34="支持",COUNTIF('问题归类'!$A$6:$A$35,B34)=1,COUNTIFS('评论证据'!$D$6:$D$205,C34,'评论证据'!$T$6:$T$205,1,'评论证据'!$C$6:$C$205,"研究")&gt;0,COUNTIFS($B$6:B34,B34,$C$6:C34,C34,$D$6:D34,"支持")=1),IF(INDEX('问题归类'!$G$6:$G$35,MATCH(B34,'问题归类'!$A$6:$A$35,0))="有效",1,0),0))</x:f>
      </x:c>
      <x:c r="H34" s="16" t="str">
        <x:f>IF(A34="","",IF(G34=1,IF(COUNTIFS($B$6:B34,B34,$F$6:F34,F34,$G$6:G34,1)=1,1,0),0))</x:f>
      </x:c>
      <x:c r="I34" s="16" t="str">
        <x:f>IF(A34="","",IF(AND(D34="反例",COUNTIF('问题归类'!$A$6:$A$35,B34)=1,COUNTIF('评论证据'!$AA$6:$AA$205,C34)&gt;0,COUNTIFS($B$6:B34,B34,$C$6:C34,C34,$D$6:D34,"反例")=1),1,0))</x:f>
      </x:c>
      <x:c r="J34" s="16" t="str">
        <x:f>IF(A34="","",IF(COUNTIF('问题归类'!$A$6:$A$35,B34)&lt;&gt;1,"问题编号缺失或重复",IF(COUNTIF('评论证据'!$D$6:$D$205,C34)=0,"评论编号缺失",IF(COUNTIFS($B$6:B34,B34,$C$6:C34,C34,$D$6:D34,D34)&gt;1,"重复关联不重复计数",""))))</x:f>
      </x:c>
    </x:row>
    <x:row r="35" ht="36" customHeight="1">
      <x:c r="A35" s="11"/>
      <x:c r="B35" s="11"/>
      <x:c r="C35" s="11"/>
      <x:c r="D35" s="11"/>
      <x:c r="E35" s="11"/>
      <x:c r="F35" s="16" t="str">
        <x:f>IF(A35="","",IF(COUNTIF('评论证据'!$AA$6:$AA$205,C35)=0,"缺可定位研究评论",INDEX('评论证据'!$E$6:$E$205,MATCH(C35,'评论证据'!$AA$6:$AA$205,0))))</x:f>
      </x:c>
      <x:c r="G35" s="16" t="str">
        <x:f>IF(A35="","",IF(AND(B35&lt;&gt;"",C35&lt;&gt;"",D35="支持",COUNTIF('问题归类'!$A$6:$A$35,B35)=1,COUNTIFS('评论证据'!$D$6:$D$205,C35,'评论证据'!$T$6:$T$205,1,'评论证据'!$C$6:$C$205,"研究")&gt;0,COUNTIFS($B$6:B35,B35,$C$6:C35,C35,$D$6:D35,"支持")=1),IF(INDEX('问题归类'!$G$6:$G$35,MATCH(B35,'问题归类'!$A$6:$A$35,0))="有效",1,0),0))</x:f>
      </x:c>
      <x:c r="H35" s="16" t="str">
        <x:f>IF(A35="","",IF(G35=1,IF(COUNTIFS($B$6:B35,B35,$F$6:F35,F35,$G$6:G35,1)=1,1,0),0))</x:f>
      </x:c>
      <x:c r="I35" s="16" t="str">
        <x:f>IF(A35="","",IF(AND(D35="反例",COUNTIF('问题归类'!$A$6:$A$35,B35)=1,COUNTIF('评论证据'!$AA$6:$AA$205,C35)&gt;0,COUNTIFS($B$6:B35,B35,$C$6:C35,C35,$D$6:D35,"反例")=1),1,0))</x:f>
      </x:c>
      <x:c r="J35" s="16" t="str">
        <x:f>IF(A35="","",IF(COUNTIF('问题归类'!$A$6:$A$35,B35)&lt;&gt;1,"问题编号缺失或重复",IF(COUNTIF('评论证据'!$D$6:$D$205,C35)=0,"评论编号缺失",IF(COUNTIFS($B$6:B35,B35,$C$6:C35,C35,$D$6:D35,D35)&gt;1,"重复关联不重复计数",""))))</x:f>
      </x:c>
    </x:row>
    <x:row r="36" ht="36" customHeight="1">
      <x:c r="A36" s="11"/>
      <x:c r="B36" s="11"/>
      <x:c r="C36" s="11"/>
      <x:c r="D36" s="11"/>
      <x:c r="E36" s="11"/>
      <x:c r="F36" s="16" t="str">
        <x:f>IF(A36="","",IF(COUNTIF('评论证据'!$AA$6:$AA$205,C36)=0,"缺可定位研究评论",INDEX('评论证据'!$E$6:$E$205,MATCH(C36,'评论证据'!$AA$6:$AA$205,0))))</x:f>
      </x:c>
      <x:c r="G36" s="16" t="str">
        <x:f>IF(A36="","",IF(AND(B36&lt;&gt;"",C36&lt;&gt;"",D36="支持",COUNTIF('问题归类'!$A$6:$A$35,B36)=1,COUNTIFS('评论证据'!$D$6:$D$205,C36,'评论证据'!$T$6:$T$205,1,'评论证据'!$C$6:$C$205,"研究")&gt;0,COUNTIFS($B$6:B36,B36,$C$6:C36,C36,$D$6:D36,"支持")=1),IF(INDEX('问题归类'!$G$6:$G$35,MATCH(B36,'问题归类'!$A$6:$A$35,0))="有效",1,0),0))</x:f>
      </x:c>
      <x:c r="H36" s="16" t="str">
        <x:f>IF(A36="","",IF(G36=1,IF(COUNTIFS($B$6:B36,B36,$F$6:F36,F36,$G$6:G36,1)=1,1,0),0))</x:f>
      </x:c>
      <x:c r="I36" s="16" t="str">
        <x:f>IF(A36="","",IF(AND(D36="反例",COUNTIF('问题归类'!$A$6:$A$35,B36)=1,COUNTIF('评论证据'!$AA$6:$AA$205,C36)&gt;0,COUNTIFS($B$6:B36,B36,$C$6:C36,C36,$D$6:D36,"反例")=1),1,0))</x:f>
      </x:c>
      <x:c r="J36" s="16" t="str">
        <x:f>IF(A36="","",IF(COUNTIF('问题归类'!$A$6:$A$35,B36)&lt;&gt;1,"问题编号缺失或重复",IF(COUNTIF('评论证据'!$D$6:$D$205,C36)=0,"评论编号缺失",IF(COUNTIFS($B$6:B36,B36,$C$6:C36,C36,$D$6:D36,D36)&gt;1,"重复关联不重复计数",""))))</x:f>
      </x:c>
    </x:row>
    <x:row r="37" ht="36" customHeight="1">
      <x:c r="A37" s="11"/>
      <x:c r="B37" s="11"/>
      <x:c r="C37" s="11"/>
      <x:c r="D37" s="11"/>
      <x:c r="E37" s="11"/>
      <x:c r="F37" s="16" t="str">
        <x:f>IF(A37="","",IF(COUNTIF('评论证据'!$AA$6:$AA$205,C37)=0,"缺可定位研究评论",INDEX('评论证据'!$E$6:$E$205,MATCH(C37,'评论证据'!$AA$6:$AA$205,0))))</x:f>
      </x:c>
      <x:c r="G37" s="16" t="str">
        <x:f>IF(A37="","",IF(AND(B37&lt;&gt;"",C37&lt;&gt;"",D37="支持",COUNTIF('问题归类'!$A$6:$A$35,B37)=1,COUNTIFS('评论证据'!$D$6:$D$205,C37,'评论证据'!$T$6:$T$205,1,'评论证据'!$C$6:$C$205,"研究")&gt;0,COUNTIFS($B$6:B37,B37,$C$6:C37,C37,$D$6:D37,"支持")=1),IF(INDEX('问题归类'!$G$6:$G$35,MATCH(B37,'问题归类'!$A$6:$A$35,0))="有效",1,0),0))</x:f>
      </x:c>
      <x:c r="H37" s="16" t="str">
        <x:f>IF(A37="","",IF(G37=1,IF(COUNTIFS($B$6:B37,B37,$F$6:F37,F37,$G$6:G37,1)=1,1,0),0))</x:f>
      </x:c>
      <x:c r="I37" s="16" t="str">
        <x:f>IF(A37="","",IF(AND(D37="反例",COUNTIF('问题归类'!$A$6:$A$35,B37)=1,COUNTIF('评论证据'!$AA$6:$AA$205,C37)&gt;0,COUNTIFS($B$6:B37,B37,$C$6:C37,C37,$D$6:D37,"反例")=1),1,0))</x:f>
      </x:c>
      <x:c r="J37" s="16" t="str">
        <x:f>IF(A37="","",IF(COUNTIF('问题归类'!$A$6:$A$35,B37)&lt;&gt;1,"问题编号缺失或重复",IF(COUNTIF('评论证据'!$D$6:$D$205,C37)=0,"评论编号缺失",IF(COUNTIFS($B$6:B37,B37,$C$6:C37,C37,$D$6:D37,D37)&gt;1,"重复关联不重复计数",""))))</x:f>
      </x:c>
    </x:row>
    <x:row r="38" ht="36" customHeight="1">
      <x:c r="A38" s="11"/>
      <x:c r="B38" s="11"/>
      <x:c r="C38" s="11"/>
      <x:c r="D38" s="11"/>
      <x:c r="E38" s="11"/>
      <x:c r="F38" s="16" t="str">
        <x:f>IF(A38="","",IF(COUNTIF('评论证据'!$AA$6:$AA$205,C38)=0,"缺可定位研究评论",INDEX('评论证据'!$E$6:$E$205,MATCH(C38,'评论证据'!$AA$6:$AA$205,0))))</x:f>
      </x:c>
      <x:c r="G38" s="16" t="str">
        <x:f>IF(A38="","",IF(AND(B38&lt;&gt;"",C38&lt;&gt;"",D38="支持",COUNTIF('问题归类'!$A$6:$A$35,B38)=1,COUNTIFS('评论证据'!$D$6:$D$205,C38,'评论证据'!$T$6:$T$205,1,'评论证据'!$C$6:$C$205,"研究")&gt;0,COUNTIFS($B$6:B38,B38,$C$6:C38,C38,$D$6:D38,"支持")=1),IF(INDEX('问题归类'!$G$6:$G$35,MATCH(B38,'问题归类'!$A$6:$A$35,0))="有效",1,0),0))</x:f>
      </x:c>
      <x:c r="H38" s="16" t="str">
        <x:f>IF(A38="","",IF(G38=1,IF(COUNTIFS($B$6:B38,B38,$F$6:F38,F38,$G$6:G38,1)=1,1,0),0))</x:f>
      </x:c>
      <x:c r="I38" s="16" t="str">
        <x:f>IF(A38="","",IF(AND(D38="反例",COUNTIF('问题归类'!$A$6:$A$35,B38)=1,COUNTIF('评论证据'!$AA$6:$AA$205,C38)&gt;0,COUNTIFS($B$6:B38,B38,$C$6:C38,C38,$D$6:D38,"反例")=1),1,0))</x:f>
      </x:c>
      <x:c r="J38" s="16" t="str">
        <x:f>IF(A38="","",IF(COUNTIF('问题归类'!$A$6:$A$35,B38)&lt;&gt;1,"问题编号缺失或重复",IF(COUNTIF('评论证据'!$D$6:$D$205,C38)=0,"评论编号缺失",IF(COUNTIFS($B$6:B38,B38,$C$6:C38,C38,$D$6:D38,D38)&gt;1,"重复关联不重复计数",""))))</x:f>
      </x:c>
    </x:row>
    <x:row r="39" ht="36" customHeight="1">
      <x:c r="A39" s="11"/>
      <x:c r="B39" s="11"/>
      <x:c r="C39" s="11"/>
      <x:c r="D39" s="11"/>
      <x:c r="E39" s="11"/>
      <x:c r="F39" s="16" t="str">
        <x:f>IF(A39="","",IF(COUNTIF('评论证据'!$AA$6:$AA$205,C39)=0,"缺可定位研究评论",INDEX('评论证据'!$E$6:$E$205,MATCH(C39,'评论证据'!$AA$6:$AA$205,0))))</x:f>
      </x:c>
      <x:c r="G39" s="16" t="str">
        <x:f>IF(A39="","",IF(AND(B39&lt;&gt;"",C39&lt;&gt;"",D39="支持",COUNTIF('问题归类'!$A$6:$A$35,B39)=1,COUNTIFS('评论证据'!$D$6:$D$205,C39,'评论证据'!$T$6:$T$205,1,'评论证据'!$C$6:$C$205,"研究")&gt;0,COUNTIFS($B$6:B39,B39,$C$6:C39,C39,$D$6:D39,"支持")=1),IF(INDEX('问题归类'!$G$6:$G$35,MATCH(B39,'问题归类'!$A$6:$A$35,0))="有效",1,0),0))</x:f>
      </x:c>
      <x:c r="H39" s="16" t="str">
        <x:f>IF(A39="","",IF(G39=1,IF(COUNTIFS($B$6:B39,B39,$F$6:F39,F39,$G$6:G39,1)=1,1,0),0))</x:f>
      </x:c>
      <x:c r="I39" s="16" t="str">
        <x:f>IF(A39="","",IF(AND(D39="反例",COUNTIF('问题归类'!$A$6:$A$35,B39)=1,COUNTIF('评论证据'!$AA$6:$AA$205,C39)&gt;0,COUNTIFS($B$6:B39,B39,$C$6:C39,C39,$D$6:D39,"反例")=1),1,0))</x:f>
      </x:c>
      <x:c r="J39" s="16" t="str">
        <x:f>IF(A39="","",IF(COUNTIF('问题归类'!$A$6:$A$35,B39)&lt;&gt;1,"问题编号缺失或重复",IF(COUNTIF('评论证据'!$D$6:$D$205,C39)=0,"评论编号缺失",IF(COUNTIFS($B$6:B39,B39,$C$6:C39,C39,$D$6:D39,D39)&gt;1,"重复关联不重复计数",""))))</x:f>
      </x:c>
    </x:row>
    <x:row r="40" ht="36" customHeight="1">
      <x:c r="A40" s="11"/>
      <x:c r="B40" s="11"/>
      <x:c r="C40" s="11"/>
      <x:c r="D40" s="11"/>
      <x:c r="E40" s="11"/>
      <x:c r="F40" s="16" t="str">
        <x:f>IF(A40="","",IF(COUNTIF('评论证据'!$AA$6:$AA$205,C40)=0,"缺可定位研究评论",INDEX('评论证据'!$E$6:$E$205,MATCH(C40,'评论证据'!$AA$6:$AA$205,0))))</x:f>
      </x:c>
      <x:c r="G40" s="16" t="str">
        <x:f>IF(A40="","",IF(AND(B40&lt;&gt;"",C40&lt;&gt;"",D40="支持",COUNTIF('问题归类'!$A$6:$A$35,B40)=1,COUNTIFS('评论证据'!$D$6:$D$205,C40,'评论证据'!$T$6:$T$205,1,'评论证据'!$C$6:$C$205,"研究")&gt;0,COUNTIFS($B$6:B40,B40,$C$6:C40,C40,$D$6:D40,"支持")=1),IF(INDEX('问题归类'!$G$6:$G$35,MATCH(B40,'问题归类'!$A$6:$A$35,0))="有效",1,0),0))</x:f>
      </x:c>
      <x:c r="H40" s="16" t="str">
        <x:f>IF(A40="","",IF(G40=1,IF(COUNTIFS($B$6:B40,B40,$F$6:F40,F40,$G$6:G40,1)=1,1,0),0))</x:f>
      </x:c>
      <x:c r="I40" s="16" t="str">
        <x:f>IF(A40="","",IF(AND(D40="反例",COUNTIF('问题归类'!$A$6:$A$35,B40)=1,COUNTIF('评论证据'!$AA$6:$AA$205,C40)&gt;0,COUNTIFS($B$6:B40,B40,$C$6:C40,C40,$D$6:D40,"反例")=1),1,0))</x:f>
      </x:c>
      <x:c r="J40" s="16" t="str">
        <x:f>IF(A40="","",IF(COUNTIF('问题归类'!$A$6:$A$35,B40)&lt;&gt;1,"问题编号缺失或重复",IF(COUNTIF('评论证据'!$D$6:$D$205,C40)=0,"评论编号缺失",IF(COUNTIFS($B$6:B40,B40,$C$6:C40,C40,$D$6:D40,D40)&gt;1,"重复关联不重复计数",""))))</x:f>
      </x:c>
    </x:row>
    <x:row r="41" ht="36" customHeight="1">
      <x:c r="A41" s="11"/>
      <x:c r="B41" s="11"/>
      <x:c r="C41" s="11"/>
      <x:c r="D41" s="11"/>
      <x:c r="E41" s="11"/>
      <x:c r="F41" s="16" t="str">
        <x:f>IF(A41="","",IF(COUNTIF('评论证据'!$AA$6:$AA$205,C41)=0,"缺可定位研究评论",INDEX('评论证据'!$E$6:$E$205,MATCH(C41,'评论证据'!$AA$6:$AA$205,0))))</x:f>
      </x:c>
      <x:c r="G41" s="16" t="str">
        <x:f>IF(A41="","",IF(AND(B41&lt;&gt;"",C41&lt;&gt;"",D41="支持",COUNTIF('问题归类'!$A$6:$A$35,B41)=1,COUNTIFS('评论证据'!$D$6:$D$205,C41,'评论证据'!$T$6:$T$205,1,'评论证据'!$C$6:$C$205,"研究")&gt;0,COUNTIFS($B$6:B41,B41,$C$6:C41,C41,$D$6:D41,"支持")=1),IF(INDEX('问题归类'!$G$6:$G$35,MATCH(B41,'问题归类'!$A$6:$A$35,0))="有效",1,0),0))</x:f>
      </x:c>
      <x:c r="H41" s="16" t="str">
        <x:f>IF(A41="","",IF(G41=1,IF(COUNTIFS($B$6:B41,B41,$F$6:F41,F41,$G$6:G41,1)=1,1,0),0))</x:f>
      </x:c>
      <x:c r="I41" s="16" t="str">
        <x:f>IF(A41="","",IF(AND(D41="反例",COUNTIF('问题归类'!$A$6:$A$35,B41)=1,COUNTIF('评论证据'!$AA$6:$AA$205,C41)&gt;0,COUNTIFS($B$6:B41,B41,$C$6:C41,C41,$D$6:D41,"反例")=1),1,0))</x:f>
      </x:c>
      <x:c r="J41" s="16" t="str">
        <x:f>IF(A41="","",IF(COUNTIF('问题归类'!$A$6:$A$35,B41)&lt;&gt;1,"问题编号缺失或重复",IF(COUNTIF('评论证据'!$D$6:$D$205,C41)=0,"评论编号缺失",IF(COUNTIFS($B$6:B41,B41,$C$6:C41,C41,$D$6:D41,D41)&gt;1,"重复关联不重复计数",""))))</x:f>
      </x:c>
    </x:row>
    <x:row r="42" ht="36" customHeight="1">
      <x:c r="A42" s="11"/>
      <x:c r="B42" s="11"/>
      <x:c r="C42" s="11"/>
      <x:c r="D42" s="11"/>
      <x:c r="E42" s="11"/>
      <x:c r="F42" s="16" t="str">
        <x:f>IF(A42="","",IF(COUNTIF('评论证据'!$AA$6:$AA$205,C42)=0,"缺可定位研究评论",INDEX('评论证据'!$E$6:$E$205,MATCH(C42,'评论证据'!$AA$6:$AA$205,0))))</x:f>
      </x:c>
      <x:c r="G42" s="16" t="str">
        <x:f>IF(A42="","",IF(AND(B42&lt;&gt;"",C42&lt;&gt;"",D42="支持",COUNTIF('问题归类'!$A$6:$A$35,B42)=1,COUNTIFS('评论证据'!$D$6:$D$205,C42,'评论证据'!$T$6:$T$205,1,'评论证据'!$C$6:$C$205,"研究")&gt;0,COUNTIFS($B$6:B42,B42,$C$6:C42,C42,$D$6:D42,"支持")=1),IF(INDEX('问题归类'!$G$6:$G$35,MATCH(B42,'问题归类'!$A$6:$A$35,0))="有效",1,0),0))</x:f>
      </x:c>
      <x:c r="H42" s="16" t="str">
        <x:f>IF(A42="","",IF(G42=1,IF(COUNTIFS($B$6:B42,B42,$F$6:F42,F42,$G$6:G42,1)=1,1,0),0))</x:f>
      </x:c>
      <x:c r="I42" s="16" t="str">
        <x:f>IF(A42="","",IF(AND(D42="反例",COUNTIF('问题归类'!$A$6:$A$35,B42)=1,COUNTIF('评论证据'!$AA$6:$AA$205,C42)&gt;0,COUNTIFS($B$6:B42,B42,$C$6:C42,C42,$D$6:D42,"反例")=1),1,0))</x:f>
      </x:c>
      <x:c r="J42" s="16" t="str">
        <x:f>IF(A42="","",IF(COUNTIF('问题归类'!$A$6:$A$35,B42)&lt;&gt;1,"问题编号缺失或重复",IF(COUNTIF('评论证据'!$D$6:$D$205,C42)=0,"评论编号缺失",IF(COUNTIFS($B$6:B42,B42,$C$6:C42,C42,$D$6:D42,D42)&gt;1,"重复关联不重复计数",""))))</x:f>
      </x:c>
    </x:row>
    <x:row r="43" ht="36" customHeight="1">
      <x:c r="A43" s="11"/>
      <x:c r="B43" s="11"/>
      <x:c r="C43" s="11"/>
      <x:c r="D43" s="11"/>
      <x:c r="E43" s="11"/>
      <x:c r="F43" s="16" t="str">
        <x:f>IF(A43="","",IF(COUNTIF('评论证据'!$AA$6:$AA$205,C43)=0,"缺可定位研究评论",INDEX('评论证据'!$E$6:$E$205,MATCH(C43,'评论证据'!$AA$6:$AA$205,0))))</x:f>
      </x:c>
      <x:c r="G43" s="16" t="str">
        <x:f>IF(A43="","",IF(AND(B43&lt;&gt;"",C43&lt;&gt;"",D43="支持",COUNTIF('问题归类'!$A$6:$A$35,B43)=1,COUNTIFS('评论证据'!$D$6:$D$205,C43,'评论证据'!$T$6:$T$205,1,'评论证据'!$C$6:$C$205,"研究")&gt;0,COUNTIFS($B$6:B43,B43,$C$6:C43,C43,$D$6:D43,"支持")=1),IF(INDEX('问题归类'!$G$6:$G$35,MATCH(B43,'问题归类'!$A$6:$A$35,0))="有效",1,0),0))</x:f>
      </x:c>
      <x:c r="H43" s="16" t="str">
        <x:f>IF(A43="","",IF(G43=1,IF(COUNTIFS($B$6:B43,B43,$F$6:F43,F43,$G$6:G43,1)=1,1,0),0))</x:f>
      </x:c>
      <x:c r="I43" s="16" t="str">
        <x:f>IF(A43="","",IF(AND(D43="反例",COUNTIF('问题归类'!$A$6:$A$35,B43)=1,COUNTIF('评论证据'!$AA$6:$AA$205,C43)&gt;0,COUNTIFS($B$6:B43,B43,$C$6:C43,C43,$D$6:D43,"反例")=1),1,0))</x:f>
      </x:c>
      <x:c r="J43" s="16" t="str">
        <x:f>IF(A43="","",IF(COUNTIF('问题归类'!$A$6:$A$35,B43)&lt;&gt;1,"问题编号缺失或重复",IF(COUNTIF('评论证据'!$D$6:$D$205,C43)=0,"评论编号缺失",IF(COUNTIFS($B$6:B43,B43,$C$6:C43,C43,$D$6:D43,D43)&gt;1,"重复关联不重复计数",""))))</x:f>
      </x:c>
    </x:row>
    <x:row r="44" ht="36" customHeight="1">
      <x:c r="A44" s="11"/>
      <x:c r="B44" s="11"/>
      <x:c r="C44" s="11"/>
      <x:c r="D44" s="11"/>
      <x:c r="E44" s="11"/>
      <x:c r="F44" s="16" t="str">
        <x:f>IF(A44="","",IF(COUNTIF('评论证据'!$AA$6:$AA$205,C44)=0,"缺可定位研究评论",INDEX('评论证据'!$E$6:$E$205,MATCH(C44,'评论证据'!$AA$6:$AA$205,0))))</x:f>
      </x:c>
      <x:c r="G44" s="16" t="str">
        <x:f>IF(A44="","",IF(AND(B44&lt;&gt;"",C44&lt;&gt;"",D44="支持",COUNTIF('问题归类'!$A$6:$A$35,B44)=1,COUNTIFS('评论证据'!$D$6:$D$205,C44,'评论证据'!$T$6:$T$205,1,'评论证据'!$C$6:$C$205,"研究")&gt;0,COUNTIFS($B$6:B44,B44,$C$6:C44,C44,$D$6:D44,"支持")=1),IF(INDEX('问题归类'!$G$6:$G$35,MATCH(B44,'问题归类'!$A$6:$A$35,0))="有效",1,0),0))</x:f>
      </x:c>
      <x:c r="H44" s="16" t="str">
        <x:f>IF(A44="","",IF(G44=1,IF(COUNTIFS($B$6:B44,B44,$F$6:F44,F44,$G$6:G44,1)=1,1,0),0))</x:f>
      </x:c>
      <x:c r="I44" s="16" t="str">
        <x:f>IF(A44="","",IF(AND(D44="反例",COUNTIF('问题归类'!$A$6:$A$35,B44)=1,COUNTIF('评论证据'!$AA$6:$AA$205,C44)&gt;0,COUNTIFS($B$6:B44,B44,$C$6:C44,C44,$D$6:D44,"反例")=1),1,0))</x:f>
      </x:c>
      <x:c r="J44" s="16" t="str">
        <x:f>IF(A44="","",IF(COUNTIF('问题归类'!$A$6:$A$35,B44)&lt;&gt;1,"问题编号缺失或重复",IF(COUNTIF('评论证据'!$D$6:$D$205,C44)=0,"评论编号缺失",IF(COUNTIFS($B$6:B44,B44,$C$6:C44,C44,$D$6:D44,D44)&gt;1,"重复关联不重复计数",""))))</x:f>
      </x:c>
    </x:row>
    <x:row r="45" ht="36" customHeight="1">
      <x:c r="A45" s="11"/>
      <x:c r="B45" s="11"/>
      <x:c r="C45" s="11"/>
      <x:c r="D45" s="11"/>
      <x:c r="E45" s="11"/>
      <x:c r="F45" s="16" t="str">
        <x:f>IF(A45="","",IF(COUNTIF('评论证据'!$AA$6:$AA$205,C45)=0,"缺可定位研究评论",INDEX('评论证据'!$E$6:$E$205,MATCH(C45,'评论证据'!$AA$6:$AA$205,0))))</x:f>
      </x:c>
      <x:c r="G45" s="16" t="str">
        <x:f>IF(A45="","",IF(AND(B45&lt;&gt;"",C45&lt;&gt;"",D45="支持",COUNTIF('问题归类'!$A$6:$A$35,B45)=1,COUNTIFS('评论证据'!$D$6:$D$205,C45,'评论证据'!$T$6:$T$205,1,'评论证据'!$C$6:$C$205,"研究")&gt;0,COUNTIFS($B$6:B45,B45,$C$6:C45,C45,$D$6:D45,"支持")=1),IF(INDEX('问题归类'!$G$6:$G$35,MATCH(B45,'问题归类'!$A$6:$A$35,0))="有效",1,0),0))</x:f>
      </x:c>
      <x:c r="H45" s="16" t="str">
        <x:f>IF(A45="","",IF(G45=1,IF(COUNTIFS($B$6:B45,B45,$F$6:F45,F45,$G$6:G45,1)=1,1,0),0))</x:f>
      </x:c>
      <x:c r="I45" s="16" t="str">
        <x:f>IF(A45="","",IF(AND(D45="反例",COUNTIF('问题归类'!$A$6:$A$35,B45)=1,COUNTIF('评论证据'!$AA$6:$AA$205,C45)&gt;0,COUNTIFS($B$6:B45,B45,$C$6:C45,C45,$D$6:D45,"反例")=1),1,0))</x:f>
      </x:c>
      <x:c r="J45" s="16" t="str">
        <x:f>IF(A45="","",IF(COUNTIF('问题归类'!$A$6:$A$35,B45)&lt;&gt;1,"问题编号缺失或重复",IF(COUNTIF('评论证据'!$D$6:$D$205,C45)=0,"评论编号缺失",IF(COUNTIFS($B$6:B45,B45,$C$6:C45,C45,$D$6:D45,D45)&gt;1,"重复关联不重复计数",""))))</x:f>
      </x:c>
    </x:row>
    <x:row r="46" ht="36" customHeight="1">
      <x:c r="A46" s="11"/>
      <x:c r="B46" s="11"/>
      <x:c r="C46" s="11"/>
      <x:c r="D46" s="11"/>
      <x:c r="E46" s="11"/>
      <x:c r="F46" s="16" t="str">
        <x:f>IF(A46="","",IF(COUNTIF('评论证据'!$AA$6:$AA$205,C46)=0,"缺可定位研究评论",INDEX('评论证据'!$E$6:$E$205,MATCH(C46,'评论证据'!$AA$6:$AA$205,0))))</x:f>
      </x:c>
      <x:c r="G46" s="16" t="str">
        <x:f>IF(A46="","",IF(AND(B46&lt;&gt;"",C46&lt;&gt;"",D46="支持",COUNTIF('问题归类'!$A$6:$A$35,B46)=1,COUNTIFS('评论证据'!$D$6:$D$205,C46,'评论证据'!$T$6:$T$205,1,'评论证据'!$C$6:$C$205,"研究")&gt;0,COUNTIFS($B$6:B46,B46,$C$6:C46,C46,$D$6:D46,"支持")=1),IF(INDEX('问题归类'!$G$6:$G$35,MATCH(B46,'问题归类'!$A$6:$A$35,0))="有效",1,0),0))</x:f>
      </x:c>
      <x:c r="H46" s="16" t="str">
        <x:f>IF(A46="","",IF(G46=1,IF(COUNTIFS($B$6:B46,B46,$F$6:F46,F46,$G$6:G46,1)=1,1,0),0))</x:f>
      </x:c>
      <x:c r="I46" s="16" t="str">
        <x:f>IF(A46="","",IF(AND(D46="反例",COUNTIF('问题归类'!$A$6:$A$35,B46)=1,COUNTIF('评论证据'!$AA$6:$AA$205,C46)&gt;0,COUNTIFS($B$6:B46,B46,$C$6:C46,C46,$D$6:D46,"反例")=1),1,0))</x:f>
      </x:c>
      <x:c r="J46" s="16" t="str">
        <x:f>IF(A46="","",IF(COUNTIF('问题归类'!$A$6:$A$35,B46)&lt;&gt;1,"问题编号缺失或重复",IF(COUNTIF('评论证据'!$D$6:$D$205,C46)=0,"评论编号缺失",IF(COUNTIFS($B$6:B46,B46,$C$6:C46,C46,$D$6:D46,D46)&gt;1,"重复关联不重复计数",""))))</x:f>
      </x:c>
    </x:row>
    <x:row r="47" ht="36" customHeight="1">
      <x:c r="A47" s="11"/>
      <x:c r="B47" s="11"/>
      <x:c r="C47" s="11"/>
      <x:c r="D47" s="11"/>
      <x:c r="E47" s="11"/>
      <x:c r="F47" s="16" t="str">
        <x:f>IF(A47="","",IF(COUNTIF('评论证据'!$AA$6:$AA$205,C47)=0,"缺可定位研究评论",INDEX('评论证据'!$E$6:$E$205,MATCH(C47,'评论证据'!$AA$6:$AA$205,0))))</x:f>
      </x:c>
      <x:c r="G47" s="16" t="str">
        <x:f>IF(A47="","",IF(AND(B47&lt;&gt;"",C47&lt;&gt;"",D47="支持",COUNTIF('问题归类'!$A$6:$A$35,B47)=1,COUNTIFS('评论证据'!$D$6:$D$205,C47,'评论证据'!$T$6:$T$205,1,'评论证据'!$C$6:$C$205,"研究")&gt;0,COUNTIFS($B$6:B47,B47,$C$6:C47,C47,$D$6:D47,"支持")=1),IF(INDEX('问题归类'!$G$6:$G$35,MATCH(B47,'问题归类'!$A$6:$A$35,0))="有效",1,0),0))</x:f>
      </x:c>
      <x:c r="H47" s="16" t="str">
        <x:f>IF(A47="","",IF(G47=1,IF(COUNTIFS($B$6:B47,B47,$F$6:F47,F47,$G$6:G47,1)=1,1,0),0))</x:f>
      </x:c>
      <x:c r="I47" s="16" t="str">
        <x:f>IF(A47="","",IF(AND(D47="反例",COUNTIF('问题归类'!$A$6:$A$35,B47)=1,COUNTIF('评论证据'!$AA$6:$AA$205,C47)&gt;0,COUNTIFS($B$6:B47,B47,$C$6:C47,C47,$D$6:D47,"反例")=1),1,0))</x:f>
      </x:c>
      <x:c r="J47" s="16" t="str">
        <x:f>IF(A47="","",IF(COUNTIF('问题归类'!$A$6:$A$35,B47)&lt;&gt;1,"问题编号缺失或重复",IF(COUNTIF('评论证据'!$D$6:$D$205,C47)=0,"评论编号缺失",IF(COUNTIFS($B$6:B47,B47,$C$6:C47,C47,$D$6:D47,D47)&gt;1,"重复关联不重复计数",""))))</x:f>
      </x:c>
    </x:row>
    <x:row r="48" ht="36" customHeight="1">
      <x:c r="A48" s="11"/>
      <x:c r="B48" s="11"/>
      <x:c r="C48" s="11"/>
      <x:c r="D48" s="11"/>
      <x:c r="E48" s="11"/>
      <x:c r="F48" s="16" t="str">
        <x:f>IF(A48="","",IF(COUNTIF('评论证据'!$AA$6:$AA$205,C48)=0,"缺可定位研究评论",INDEX('评论证据'!$E$6:$E$205,MATCH(C48,'评论证据'!$AA$6:$AA$205,0))))</x:f>
      </x:c>
      <x:c r="G48" s="16" t="str">
        <x:f>IF(A48="","",IF(AND(B48&lt;&gt;"",C48&lt;&gt;"",D48="支持",COUNTIF('问题归类'!$A$6:$A$35,B48)=1,COUNTIFS('评论证据'!$D$6:$D$205,C48,'评论证据'!$T$6:$T$205,1,'评论证据'!$C$6:$C$205,"研究")&gt;0,COUNTIFS($B$6:B48,B48,$C$6:C48,C48,$D$6:D48,"支持")=1),IF(INDEX('问题归类'!$G$6:$G$35,MATCH(B48,'问题归类'!$A$6:$A$35,0))="有效",1,0),0))</x:f>
      </x:c>
      <x:c r="H48" s="16" t="str">
        <x:f>IF(A48="","",IF(G48=1,IF(COUNTIFS($B$6:B48,B48,$F$6:F48,F48,$G$6:G48,1)=1,1,0),0))</x:f>
      </x:c>
      <x:c r="I48" s="16" t="str">
        <x:f>IF(A48="","",IF(AND(D48="反例",COUNTIF('问题归类'!$A$6:$A$35,B48)=1,COUNTIF('评论证据'!$AA$6:$AA$205,C48)&gt;0,COUNTIFS($B$6:B48,B48,$C$6:C48,C48,$D$6:D48,"反例")=1),1,0))</x:f>
      </x:c>
      <x:c r="J48" s="16" t="str">
        <x:f>IF(A48="","",IF(COUNTIF('问题归类'!$A$6:$A$35,B48)&lt;&gt;1,"问题编号缺失或重复",IF(COUNTIF('评论证据'!$D$6:$D$205,C48)=0,"评论编号缺失",IF(COUNTIFS($B$6:B48,B48,$C$6:C48,C48,$D$6:D48,D48)&gt;1,"重复关联不重复计数",""))))</x:f>
      </x:c>
    </x:row>
    <x:row r="49" ht="36" customHeight="1">
      <x:c r="A49" s="11"/>
      <x:c r="B49" s="11"/>
      <x:c r="C49" s="11"/>
      <x:c r="D49" s="11"/>
      <x:c r="E49" s="11"/>
      <x:c r="F49" s="16" t="str">
        <x:f>IF(A49="","",IF(COUNTIF('评论证据'!$AA$6:$AA$205,C49)=0,"缺可定位研究评论",INDEX('评论证据'!$E$6:$E$205,MATCH(C49,'评论证据'!$AA$6:$AA$205,0))))</x:f>
      </x:c>
      <x:c r="G49" s="16" t="str">
        <x:f>IF(A49="","",IF(AND(B49&lt;&gt;"",C49&lt;&gt;"",D49="支持",COUNTIF('问题归类'!$A$6:$A$35,B49)=1,COUNTIFS('评论证据'!$D$6:$D$205,C49,'评论证据'!$T$6:$T$205,1,'评论证据'!$C$6:$C$205,"研究")&gt;0,COUNTIFS($B$6:B49,B49,$C$6:C49,C49,$D$6:D49,"支持")=1),IF(INDEX('问题归类'!$G$6:$G$35,MATCH(B49,'问题归类'!$A$6:$A$35,0))="有效",1,0),0))</x:f>
      </x:c>
      <x:c r="H49" s="16" t="str">
        <x:f>IF(A49="","",IF(G49=1,IF(COUNTIFS($B$6:B49,B49,$F$6:F49,F49,$G$6:G49,1)=1,1,0),0))</x:f>
      </x:c>
      <x:c r="I49" s="16" t="str">
        <x:f>IF(A49="","",IF(AND(D49="反例",COUNTIF('问题归类'!$A$6:$A$35,B49)=1,COUNTIF('评论证据'!$AA$6:$AA$205,C49)&gt;0,COUNTIFS($B$6:B49,B49,$C$6:C49,C49,$D$6:D49,"反例")=1),1,0))</x:f>
      </x:c>
      <x:c r="J49" s="16" t="str">
        <x:f>IF(A49="","",IF(COUNTIF('问题归类'!$A$6:$A$35,B49)&lt;&gt;1,"问题编号缺失或重复",IF(COUNTIF('评论证据'!$D$6:$D$205,C49)=0,"评论编号缺失",IF(COUNTIFS($B$6:B49,B49,$C$6:C49,C49,$D$6:D49,D49)&gt;1,"重复关联不重复计数",""))))</x:f>
      </x:c>
    </x:row>
    <x:row r="50" ht="36" customHeight="1">
      <x:c r="A50" s="11"/>
      <x:c r="B50" s="11"/>
      <x:c r="C50" s="11"/>
      <x:c r="D50" s="11"/>
      <x:c r="E50" s="11"/>
      <x:c r="F50" s="16" t="str">
        <x:f>IF(A50="","",IF(COUNTIF('评论证据'!$AA$6:$AA$205,C50)=0,"缺可定位研究评论",INDEX('评论证据'!$E$6:$E$205,MATCH(C50,'评论证据'!$AA$6:$AA$205,0))))</x:f>
      </x:c>
      <x:c r="G50" s="16" t="str">
        <x:f>IF(A50="","",IF(AND(B50&lt;&gt;"",C50&lt;&gt;"",D50="支持",COUNTIF('问题归类'!$A$6:$A$35,B50)=1,COUNTIFS('评论证据'!$D$6:$D$205,C50,'评论证据'!$T$6:$T$205,1,'评论证据'!$C$6:$C$205,"研究")&gt;0,COUNTIFS($B$6:B50,B50,$C$6:C50,C50,$D$6:D50,"支持")=1),IF(INDEX('问题归类'!$G$6:$G$35,MATCH(B50,'问题归类'!$A$6:$A$35,0))="有效",1,0),0))</x:f>
      </x:c>
      <x:c r="H50" s="16" t="str">
        <x:f>IF(A50="","",IF(G50=1,IF(COUNTIFS($B$6:B50,B50,$F$6:F50,F50,$G$6:G50,1)=1,1,0),0))</x:f>
      </x:c>
      <x:c r="I50" s="16" t="str">
        <x:f>IF(A50="","",IF(AND(D50="反例",COUNTIF('问题归类'!$A$6:$A$35,B50)=1,COUNTIF('评论证据'!$AA$6:$AA$205,C50)&gt;0,COUNTIFS($B$6:B50,B50,$C$6:C50,C50,$D$6:D50,"反例")=1),1,0))</x:f>
      </x:c>
      <x:c r="J50" s="16" t="str">
        <x:f>IF(A50="","",IF(COUNTIF('问题归类'!$A$6:$A$35,B50)&lt;&gt;1,"问题编号缺失或重复",IF(COUNTIF('评论证据'!$D$6:$D$205,C50)=0,"评论编号缺失",IF(COUNTIFS($B$6:B50,B50,$C$6:C50,C50,$D$6:D50,D50)&gt;1,"重复关联不重复计数",""))))</x:f>
      </x:c>
    </x:row>
    <x:row r="51" ht="36" customHeight="1">
      <x:c r="A51" s="11"/>
      <x:c r="B51" s="11"/>
      <x:c r="C51" s="11"/>
      <x:c r="D51" s="11"/>
      <x:c r="E51" s="11"/>
      <x:c r="F51" s="16" t="str">
        <x:f>IF(A51="","",IF(COUNTIF('评论证据'!$AA$6:$AA$205,C51)=0,"缺可定位研究评论",INDEX('评论证据'!$E$6:$E$205,MATCH(C51,'评论证据'!$AA$6:$AA$205,0))))</x:f>
      </x:c>
      <x:c r="G51" s="16" t="str">
        <x:f>IF(A51="","",IF(AND(B51&lt;&gt;"",C51&lt;&gt;"",D51="支持",COUNTIF('问题归类'!$A$6:$A$35,B51)=1,COUNTIFS('评论证据'!$D$6:$D$205,C51,'评论证据'!$T$6:$T$205,1,'评论证据'!$C$6:$C$205,"研究")&gt;0,COUNTIFS($B$6:B51,B51,$C$6:C51,C51,$D$6:D51,"支持")=1),IF(INDEX('问题归类'!$G$6:$G$35,MATCH(B51,'问题归类'!$A$6:$A$35,0))="有效",1,0),0))</x:f>
      </x:c>
      <x:c r="H51" s="16" t="str">
        <x:f>IF(A51="","",IF(G51=1,IF(COUNTIFS($B$6:B51,B51,$F$6:F51,F51,$G$6:G51,1)=1,1,0),0))</x:f>
      </x:c>
      <x:c r="I51" s="16" t="str">
        <x:f>IF(A51="","",IF(AND(D51="反例",COUNTIF('问题归类'!$A$6:$A$35,B51)=1,COUNTIF('评论证据'!$AA$6:$AA$205,C51)&gt;0,COUNTIFS($B$6:B51,B51,$C$6:C51,C51,$D$6:D51,"反例")=1),1,0))</x:f>
      </x:c>
      <x:c r="J51" s="16" t="str">
        <x:f>IF(A51="","",IF(COUNTIF('问题归类'!$A$6:$A$35,B51)&lt;&gt;1,"问题编号缺失或重复",IF(COUNTIF('评论证据'!$D$6:$D$205,C51)=0,"评论编号缺失",IF(COUNTIFS($B$6:B51,B51,$C$6:C51,C51,$D$6:D51,D51)&gt;1,"重复关联不重复计数",""))))</x:f>
      </x:c>
    </x:row>
    <x:row r="52" ht="36" customHeight="1">
      <x:c r="A52" s="11"/>
      <x:c r="B52" s="11"/>
      <x:c r="C52" s="11"/>
      <x:c r="D52" s="11"/>
      <x:c r="E52" s="11"/>
      <x:c r="F52" s="16" t="str">
        <x:f>IF(A52="","",IF(COUNTIF('评论证据'!$AA$6:$AA$205,C52)=0,"缺可定位研究评论",INDEX('评论证据'!$E$6:$E$205,MATCH(C52,'评论证据'!$AA$6:$AA$205,0))))</x:f>
      </x:c>
      <x:c r="G52" s="16" t="str">
        <x:f>IF(A52="","",IF(AND(B52&lt;&gt;"",C52&lt;&gt;"",D52="支持",COUNTIF('问题归类'!$A$6:$A$35,B52)=1,COUNTIFS('评论证据'!$D$6:$D$205,C52,'评论证据'!$T$6:$T$205,1,'评论证据'!$C$6:$C$205,"研究")&gt;0,COUNTIFS($B$6:B52,B52,$C$6:C52,C52,$D$6:D52,"支持")=1),IF(INDEX('问题归类'!$G$6:$G$35,MATCH(B52,'问题归类'!$A$6:$A$35,0))="有效",1,0),0))</x:f>
      </x:c>
      <x:c r="H52" s="16" t="str">
        <x:f>IF(A52="","",IF(G52=1,IF(COUNTIFS($B$6:B52,B52,$F$6:F52,F52,$G$6:G52,1)=1,1,0),0))</x:f>
      </x:c>
      <x:c r="I52" s="16" t="str">
        <x:f>IF(A52="","",IF(AND(D52="反例",COUNTIF('问题归类'!$A$6:$A$35,B52)=1,COUNTIF('评论证据'!$AA$6:$AA$205,C52)&gt;0,COUNTIFS($B$6:B52,B52,$C$6:C52,C52,$D$6:D52,"反例")=1),1,0))</x:f>
      </x:c>
      <x:c r="J52" s="16" t="str">
        <x:f>IF(A52="","",IF(COUNTIF('问题归类'!$A$6:$A$35,B52)&lt;&gt;1,"问题编号缺失或重复",IF(COUNTIF('评论证据'!$D$6:$D$205,C52)=0,"评论编号缺失",IF(COUNTIFS($B$6:B52,B52,$C$6:C52,C52,$D$6:D52,D52)&gt;1,"重复关联不重复计数",""))))</x:f>
      </x:c>
    </x:row>
    <x:row r="53" ht="36" customHeight="1">
      <x:c r="A53" s="11"/>
      <x:c r="B53" s="11"/>
      <x:c r="C53" s="11"/>
      <x:c r="D53" s="11"/>
      <x:c r="E53" s="11"/>
      <x:c r="F53" s="16" t="str">
        <x:f>IF(A53="","",IF(COUNTIF('评论证据'!$AA$6:$AA$205,C53)=0,"缺可定位研究评论",INDEX('评论证据'!$E$6:$E$205,MATCH(C53,'评论证据'!$AA$6:$AA$205,0))))</x:f>
      </x:c>
      <x:c r="G53" s="16" t="str">
        <x:f>IF(A53="","",IF(AND(B53&lt;&gt;"",C53&lt;&gt;"",D53="支持",COUNTIF('问题归类'!$A$6:$A$35,B53)=1,COUNTIFS('评论证据'!$D$6:$D$205,C53,'评论证据'!$T$6:$T$205,1,'评论证据'!$C$6:$C$205,"研究")&gt;0,COUNTIFS($B$6:B53,B53,$C$6:C53,C53,$D$6:D53,"支持")=1),IF(INDEX('问题归类'!$G$6:$G$35,MATCH(B53,'问题归类'!$A$6:$A$35,0))="有效",1,0),0))</x:f>
      </x:c>
      <x:c r="H53" s="16" t="str">
        <x:f>IF(A53="","",IF(G53=1,IF(COUNTIFS($B$6:B53,B53,$F$6:F53,F53,$G$6:G53,1)=1,1,0),0))</x:f>
      </x:c>
      <x:c r="I53" s="16" t="str">
        <x:f>IF(A53="","",IF(AND(D53="反例",COUNTIF('问题归类'!$A$6:$A$35,B53)=1,COUNTIF('评论证据'!$AA$6:$AA$205,C53)&gt;0,COUNTIFS($B$6:B53,B53,$C$6:C53,C53,$D$6:D53,"反例")=1),1,0))</x:f>
      </x:c>
      <x:c r="J53" s="16" t="str">
        <x:f>IF(A53="","",IF(COUNTIF('问题归类'!$A$6:$A$35,B53)&lt;&gt;1,"问题编号缺失或重复",IF(COUNTIF('评论证据'!$D$6:$D$205,C53)=0,"评论编号缺失",IF(COUNTIFS($B$6:B53,B53,$C$6:C53,C53,$D$6:D53,D53)&gt;1,"重复关联不重复计数",""))))</x:f>
      </x:c>
    </x:row>
    <x:row r="54" ht="36" customHeight="1">
      <x:c r="A54" s="11"/>
      <x:c r="B54" s="11"/>
      <x:c r="C54" s="11"/>
      <x:c r="D54" s="11"/>
      <x:c r="E54" s="11"/>
      <x:c r="F54" s="16" t="str">
        <x:f>IF(A54="","",IF(COUNTIF('评论证据'!$AA$6:$AA$205,C54)=0,"缺可定位研究评论",INDEX('评论证据'!$E$6:$E$205,MATCH(C54,'评论证据'!$AA$6:$AA$205,0))))</x:f>
      </x:c>
      <x:c r="G54" s="16" t="str">
        <x:f>IF(A54="","",IF(AND(B54&lt;&gt;"",C54&lt;&gt;"",D54="支持",COUNTIF('问题归类'!$A$6:$A$35,B54)=1,COUNTIFS('评论证据'!$D$6:$D$205,C54,'评论证据'!$T$6:$T$205,1,'评论证据'!$C$6:$C$205,"研究")&gt;0,COUNTIFS($B$6:B54,B54,$C$6:C54,C54,$D$6:D54,"支持")=1),IF(INDEX('问题归类'!$G$6:$G$35,MATCH(B54,'问题归类'!$A$6:$A$35,0))="有效",1,0),0))</x:f>
      </x:c>
      <x:c r="H54" s="16" t="str">
        <x:f>IF(A54="","",IF(G54=1,IF(COUNTIFS($B$6:B54,B54,$F$6:F54,F54,$G$6:G54,1)=1,1,0),0))</x:f>
      </x:c>
      <x:c r="I54" s="16" t="str">
        <x:f>IF(A54="","",IF(AND(D54="反例",COUNTIF('问题归类'!$A$6:$A$35,B54)=1,COUNTIF('评论证据'!$AA$6:$AA$205,C54)&gt;0,COUNTIFS($B$6:B54,B54,$C$6:C54,C54,$D$6:D54,"反例")=1),1,0))</x:f>
      </x:c>
      <x:c r="J54" s="16" t="str">
        <x:f>IF(A54="","",IF(COUNTIF('问题归类'!$A$6:$A$35,B54)&lt;&gt;1,"问题编号缺失或重复",IF(COUNTIF('评论证据'!$D$6:$D$205,C54)=0,"评论编号缺失",IF(COUNTIFS($B$6:B54,B54,$C$6:C54,C54,$D$6:D54,D54)&gt;1,"重复关联不重复计数",""))))</x:f>
      </x:c>
    </x:row>
    <x:row r="55" ht="36" customHeight="1">
      <x:c r="A55" s="11"/>
      <x:c r="B55" s="11"/>
      <x:c r="C55" s="11"/>
      <x:c r="D55" s="11"/>
      <x:c r="E55" s="11"/>
      <x:c r="F55" s="16" t="str">
        <x:f>IF(A55="","",IF(COUNTIF('评论证据'!$AA$6:$AA$205,C55)=0,"缺可定位研究评论",INDEX('评论证据'!$E$6:$E$205,MATCH(C55,'评论证据'!$AA$6:$AA$205,0))))</x:f>
      </x:c>
      <x:c r="G55" s="16" t="str">
        <x:f>IF(A55="","",IF(AND(B55&lt;&gt;"",C55&lt;&gt;"",D55="支持",COUNTIF('问题归类'!$A$6:$A$35,B55)=1,COUNTIFS('评论证据'!$D$6:$D$205,C55,'评论证据'!$T$6:$T$205,1,'评论证据'!$C$6:$C$205,"研究")&gt;0,COUNTIFS($B$6:B55,B55,$C$6:C55,C55,$D$6:D55,"支持")=1),IF(INDEX('问题归类'!$G$6:$G$35,MATCH(B55,'问题归类'!$A$6:$A$35,0))="有效",1,0),0))</x:f>
      </x:c>
      <x:c r="H55" s="16" t="str">
        <x:f>IF(A55="","",IF(G55=1,IF(COUNTIFS($B$6:B55,B55,$F$6:F55,F55,$G$6:G55,1)=1,1,0),0))</x:f>
      </x:c>
      <x:c r="I55" s="16" t="str">
        <x:f>IF(A55="","",IF(AND(D55="反例",COUNTIF('问题归类'!$A$6:$A$35,B55)=1,COUNTIF('评论证据'!$AA$6:$AA$205,C55)&gt;0,COUNTIFS($B$6:B55,B55,$C$6:C55,C55,$D$6:D55,"反例")=1),1,0))</x:f>
      </x:c>
      <x:c r="J55" s="16" t="str">
        <x:f>IF(A55="","",IF(COUNTIF('问题归类'!$A$6:$A$35,B55)&lt;&gt;1,"问题编号缺失或重复",IF(COUNTIF('评论证据'!$D$6:$D$205,C55)=0,"评论编号缺失",IF(COUNTIFS($B$6:B55,B55,$C$6:C55,C55,$D$6:D55,D55)&gt;1,"重复关联不重复计数",""))))</x:f>
      </x:c>
    </x:row>
    <x:row r="56" ht="36" customHeight="1">
      <x:c r="A56" s="11"/>
      <x:c r="B56" s="11"/>
      <x:c r="C56" s="11"/>
      <x:c r="D56" s="11"/>
      <x:c r="E56" s="11"/>
      <x:c r="F56" s="16" t="str">
        <x:f>IF(A56="","",IF(COUNTIF('评论证据'!$AA$6:$AA$205,C56)=0,"缺可定位研究评论",INDEX('评论证据'!$E$6:$E$205,MATCH(C56,'评论证据'!$AA$6:$AA$205,0))))</x:f>
      </x:c>
      <x:c r="G56" s="16" t="str">
        <x:f>IF(A56="","",IF(AND(B56&lt;&gt;"",C56&lt;&gt;"",D56="支持",COUNTIF('问题归类'!$A$6:$A$35,B56)=1,COUNTIFS('评论证据'!$D$6:$D$205,C56,'评论证据'!$T$6:$T$205,1,'评论证据'!$C$6:$C$205,"研究")&gt;0,COUNTIFS($B$6:B56,B56,$C$6:C56,C56,$D$6:D56,"支持")=1),IF(INDEX('问题归类'!$G$6:$G$35,MATCH(B56,'问题归类'!$A$6:$A$35,0))="有效",1,0),0))</x:f>
      </x:c>
      <x:c r="H56" s="16" t="str">
        <x:f>IF(A56="","",IF(G56=1,IF(COUNTIFS($B$6:B56,B56,$F$6:F56,F56,$G$6:G56,1)=1,1,0),0))</x:f>
      </x:c>
      <x:c r="I56" s="16" t="str">
        <x:f>IF(A56="","",IF(AND(D56="反例",COUNTIF('问题归类'!$A$6:$A$35,B56)=1,COUNTIF('评论证据'!$AA$6:$AA$205,C56)&gt;0,COUNTIFS($B$6:B56,B56,$C$6:C56,C56,$D$6:D56,"反例")=1),1,0))</x:f>
      </x:c>
      <x:c r="J56" s="16" t="str">
        <x:f>IF(A56="","",IF(COUNTIF('问题归类'!$A$6:$A$35,B56)&lt;&gt;1,"问题编号缺失或重复",IF(COUNTIF('评论证据'!$D$6:$D$205,C56)=0,"评论编号缺失",IF(COUNTIFS($B$6:B56,B56,$C$6:C56,C56,$D$6:D56,D56)&gt;1,"重复关联不重复计数",""))))</x:f>
      </x:c>
    </x:row>
    <x:row r="57" ht="36" customHeight="1">
      <x:c r="A57" s="11"/>
      <x:c r="B57" s="11"/>
      <x:c r="C57" s="11"/>
      <x:c r="D57" s="11"/>
      <x:c r="E57" s="11"/>
      <x:c r="F57" s="16" t="str">
        <x:f>IF(A57="","",IF(COUNTIF('评论证据'!$AA$6:$AA$205,C57)=0,"缺可定位研究评论",INDEX('评论证据'!$E$6:$E$205,MATCH(C57,'评论证据'!$AA$6:$AA$205,0))))</x:f>
      </x:c>
      <x:c r="G57" s="16" t="str">
        <x:f>IF(A57="","",IF(AND(B57&lt;&gt;"",C57&lt;&gt;"",D57="支持",COUNTIF('问题归类'!$A$6:$A$35,B57)=1,COUNTIFS('评论证据'!$D$6:$D$205,C57,'评论证据'!$T$6:$T$205,1,'评论证据'!$C$6:$C$205,"研究")&gt;0,COUNTIFS($B$6:B57,B57,$C$6:C57,C57,$D$6:D57,"支持")=1),IF(INDEX('问题归类'!$G$6:$G$35,MATCH(B57,'问题归类'!$A$6:$A$35,0))="有效",1,0),0))</x:f>
      </x:c>
      <x:c r="H57" s="16" t="str">
        <x:f>IF(A57="","",IF(G57=1,IF(COUNTIFS($B$6:B57,B57,$F$6:F57,F57,$G$6:G57,1)=1,1,0),0))</x:f>
      </x:c>
      <x:c r="I57" s="16" t="str">
        <x:f>IF(A57="","",IF(AND(D57="反例",COUNTIF('问题归类'!$A$6:$A$35,B57)=1,COUNTIF('评论证据'!$AA$6:$AA$205,C57)&gt;0,COUNTIFS($B$6:B57,B57,$C$6:C57,C57,$D$6:D57,"反例")=1),1,0))</x:f>
      </x:c>
      <x:c r="J57" s="16" t="str">
        <x:f>IF(A57="","",IF(COUNTIF('问题归类'!$A$6:$A$35,B57)&lt;&gt;1,"问题编号缺失或重复",IF(COUNTIF('评论证据'!$D$6:$D$205,C57)=0,"评论编号缺失",IF(COUNTIFS($B$6:B57,B57,$C$6:C57,C57,$D$6:D57,D57)&gt;1,"重复关联不重复计数",""))))</x:f>
      </x:c>
    </x:row>
    <x:row r="58" ht="36" customHeight="1">
      <x:c r="A58" s="11"/>
      <x:c r="B58" s="11"/>
      <x:c r="C58" s="11"/>
      <x:c r="D58" s="11"/>
      <x:c r="E58" s="11"/>
      <x:c r="F58" s="16" t="str">
        <x:f>IF(A58="","",IF(COUNTIF('评论证据'!$AA$6:$AA$205,C58)=0,"缺可定位研究评论",INDEX('评论证据'!$E$6:$E$205,MATCH(C58,'评论证据'!$AA$6:$AA$205,0))))</x:f>
      </x:c>
      <x:c r="G58" s="16" t="str">
        <x:f>IF(A58="","",IF(AND(B58&lt;&gt;"",C58&lt;&gt;"",D58="支持",COUNTIF('问题归类'!$A$6:$A$35,B58)=1,COUNTIFS('评论证据'!$D$6:$D$205,C58,'评论证据'!$T$6:$T$205,1,'评论证据'!$C$6:$C$205,"研究")&gt;0,COUNTIFS($B$6:B58,B58,$C$6:C58,C58,$D$6:D58,"支持")=1),IF(INDEX('问题归类'!$G$6:$G$35,MATCH(B58,'问题归类'!$A$6:$A$35,0))="有效",1,0),0))</x:f>
      </x:c>
      <x:c r="H58" s="16" t="str">
        <x:f>IF(A58="","",IF(G58=1,IF(COUNTIFS($B$6:B58,B58,$F$6:F58,F58,$G$6:G58,1)=1,1,0),0))</x:f>
      </x:c>
      <x:c r="I58" s="16" t="str">
        <x:f>IF(A58="","",IF(AND(D58="反例",COUNTIF('问题归类'!$A$6:$A$35,B58)=1,COUNTIF('评论证据'!$AA$6:$AA$205,C58)&gt;0,COUNTIFS($B$6:B58,B58,$C$6:C58,C58,$D$6:D58,"反例")=1),1,0))</x:f>
      </x:c>
      <x:c r="J58" s="16" t="str">
        <x:f>IF(A58="","",IF(COUNTIF('问题归类'!$A$6:$A$35,B58)&lt;&gt;1,"问题编号缺失或重复",IF(COUNTIF('评论证据'!$D$6:$D$205,C58)=0,"评论编号缺失",IF(COUNTIFS($B$6:B58,B58,$C$6:C58,C58,$D$6:D58,D58)&gt;1,"重复关联不重复计数",""))))</x:f>
      </x:c>
    </x:row>
    <x:row r="59" ht="36" customHeight="1">
      <x:c r="A59" s="11"/>
      <x:c r="B59" s="11"/>
      <x:c r="C59" s="11"/>
      <x:c r="D59" s="11"/>
      <x:c r="E59" s="11"/>
      <x:c r="F59" s="16" t="str">
        <x:f>IF(A59="","",IF(COUNTIF('评论证据'!$AA$6:$AA$205,C59)=0,"缺可定位研究评论",INDEX('评论证据'!$E$6:$E$205,MATCH(C59,'评论证据'!$AA$6:$AA$205,0))))</x:f>
      </x:c>
      <x:c r="G59" s="16" t="str">
        <x:f>IF(A59="","",IF(AND(B59&lt;&gt;"",C59&lt;&gt;"",D59="支持",COUNTIF('问题归类'!$A$6:$A$35,B59)=1,COUNTIFS('评论证据'!$D$6:$D$205,C59,'评论证据'!$T$6:$T$205,1,'评论证据'!$C$6:$C$205,"研究")&gt;0,COUNTIFS($B$6:B59,B59,$C$6:C59,C59,$D$6:D59,"支持")=1),IF(INDEX('问题归类'!$G$6:$G$35,MATCH(B59,'问题归类'!$A$6:$A$35,0))="有效",1,0),0))</x:f>
      </x:c>
      <x:c r="H59" s="16" t="str">
        <x:f>IF(A59="","",IF(G59=1,IF(COUNTIFS($B$6:B59,B59,$F$6:F59,F59,$G$6:G59,1)=1,1,0),0))</x:f>
      </x:c>
      <x:c r="I59" s="16" t="str">
        <x:f>IF(A59="","",IF(AND(D59="反例",COUNTIF('问题归类'!$A$6:$A$35,B59)=1,COUNTIF('评论证据'!$AA$6:$AA$205,C59)&gt;0,COUNTIFS($B$6:B59,B59,$C$6:C59,C59,$D$6:D59,"反例")=1),1,0))</x:f>
      </x:c>
      <x:c r="J59" s="16" t="str">
        <x:f>IF(A59="","",IF(COUNTIF('问题归类'!$A$6:$A$35,B59)&lt;&gt;1,"问题编号缺失或重复",IF(COUNTIF('评论证据'!$D$6:$D$205,C59)=0,"评论编号缺失",IF(COUNTIFS($B$6:B59,B59,$C$6:C59,C59,$D$6:D59,D59)&gt;1,"重复关联不重复计数",""))))</x:f>
      </x:c>
    </x:row>
    <x:row r="60" ht="36" customHeight="1">
      <x:c r="A60" s="11"/>
      <x:c r="B60" s="11"/>
      <x:c r="C60" s="11"/>
      <x:c r="D60" s="11"/>
      <x:c r="E60" s="11"/>
      <x:c r="F60" s="16" t="str">
        <x:f>IF(A60="","",IF(COUNTIF('评论证据'!$AA$6:$AA$205,C60)=0,"缺可定位研究评论",INDEX('评论证据'!$E$6:$E$205,MATCH(C60,'评论证据'!$AA$6:$AA$205,0))))</x:f>
      </x:c>
      <x:c r="G60" s="16" t="str">
        <x:f>IF(A60="","",IF(AND(B60&lt;&gt;"",C60&lt;&gt;"",D60="支持",COUNTIF('问题归类'!$A$6:$A$35,B60)=1,COUNTIFS('评论证据'!$D$6:$D$205,C60,'评论证据'!$T$6:$T$205,1,'评论证据'!$C$6:$C$205,"研究")&gt;0,COUNTIFS($B$6:B60,B60,$C$6:C60,C60,$D$6:D60,"支持")=1),IF(INDEX('问题归类'!$G$6:$G$35,MATCH(B60,'问题归类'!$A$6:$A$35,0))="有效",1,0),0))</x:f>
      </x:c>
      <x:c r="H60" s="16" t="str">
        <x:f>IF(A60="","",IF(G60=1,IF(COUNTIFS($B$6:B60,B60,$F$6:F60,F60,$G$6:G60,1)=1,1,0),0))</x:f>
      </x:c>
      <x:c r="I60" s="16" t="str">
        <x:f>IF(A60="","",IF(AND(D60="反例",COUNTIF('问题归类'!$A$6:$A$35,B60)=1,COUNTIF('评论证据'!$AA$6:$AA$205,C60)&gt;0,COUNTIFS($B$6:B60,B60,$C$6:C60,C60,$D$6:D60,"反例")=1),1,0))</x:f>
      </x:c>
      <x:c r="J60" s="16" t="str">
        <x:f>IF(A60="","",IF(COUNTIF('问题归类'!$A$6:$A$35,B60)&lt;&gt;1,"问题编号缺失或重复",IF(COUNTIF('评论证据'!$D$6:$D$205,C60)=0,"评论编号缺失",IF(COUNTIFS($B$6:B60,B60,$C$6:C60,C60,$D$6:D60,D60)&gt;1,"重复关联不重复计数",""))))</x:f>
      </x:c>
    </x:row>
    <x:row r="61" ht="36" customHeight="1">
      <x:c r="A61" s="11"/>
      <x:c r="B61" s="11"/>
      <x:c r="C61" s="11"/>
      <x:c r="D61" s="11"/>
      <x:c r="E61" s="11"/>
      <x:c r="F61" s="16" t="str">
        <x:f>IF(A61="","",IF(COUNTIF('评论证据'!$AA$6:$AA$205,C61)=0,"缺可定位研究评论",INDEX('评论证据'!$E$6:$E$205,MATCH(C61,'评论证据'!$AA$6:$AA$205,0))))</x:f>
      </x:c>
      <x:c r="G61" s="16" t="str">
        <x:f>IF(A61="","",IF(AND(B61&lt;&gt;"",C61&lt;&gt;"",D61="支持",COUNTIF('问题归类'!$A$6:$A$35,B61)=1,COUNTIFS('评论证据'!$D$6:$D$205,C61,'评论证据'!$T$6:$T$205,1,'评论证据'!$C$6:$C$205,"研究")&gt;0,COUNTIFS($B$6:B61,B61,$C$6:C61,C61,$D$6:D61,"支持")=1),IF(INDEX('问题归类'!$G$6:$G$35,MATCH(B61,'问题归类'!$A$6:$A$35,0))="有效",1,0),0))</x:f>
      </x:c>
      <x:c r="H61" s="16" t="str">
        <x:f>IF(A61="","",IF(G61=1,IF(COUNTIFS($B$6:B61,B61,$F$6:F61,F61,$G$6:G61,1)=1,1,0),0))</x:f>
      </x:c>
      <x:c r="I61" s="16" t="str">
        <x:f>IF(A61="","",IF(AND(D61="反例",COUNTIF('问题归类'!$A$6:$A$35,B61)=1,COUNTIF('评论证据'!$AA$6:$AA$205,C61)&gt;0,COUNTIFS($B$6:B61,B61,$C$6:C61,C61,$D$6:D61,"反例")=1),1,0))</x:f>
      </x:c>
      <x:c r="J61" s="16" t="str">
        <x:f>IF(A61="","",IF(COUNTIF('问题归类'!$A$6:$A$35,B61)&lt;&gt;1,"问题编号缺失或重复",IF(COUNTIF('评论证据'!$D$6:$D$205,C61)=0,"评论编号缺失",IF(COUNTIFS($B$6:B61,B61,$C$6:C61,C61,$D$6:D61,D61)&gt;1,"重复关联不重复计数",""))))</x:f>
      </x:c>
    </x:row>
    <x:row r="62" ht="36" customHeight="1">
      <x:c r="A62" s="11"/>
      <x:c r="B62" s="11"/>
      <x:c r="C62" s="11"/>
      <x:c r="D62" s="11"/>
      <x:c r="E62" s="11"/>
      <x:c r="F62" s="16" t="str">
        <x:f>IF(A62="","",IF(COUNTIF('评论证据'!$AA$6:$AA$205,C62)=0,"缺可定位研究评论",INDEX('评论证据'!$E$6:$E$205,MATCH(C62,'评论证据'!$AA$6:$AA$205,0))))</x:f>
      </x:c>
      <x:c r="G62" s="16" t="str">
        <x:f>IF(A62="","",IF(AND(B62&lt;&gt;"",C62&lt;&gt;"",D62="支持",COUNTIF('问题归类'!$A$6:$A$35,B62)=1,COUNTIFS('评论证据'!$D$6:$D$205,C62,'评论证据'!$T$6:$T$205,1,'评论证据'!$C$6:$C$205,"研究")&gt;0,COUNTIFS($B$6:B62,B62,$C$6:C62,C62,$D$6:D62,"支持")=1),IF(INDEX('问题归类'!$G$6:$G$35,MATCH(B62,'问题归类'!$A$6:$A$35,0))="有效",1,0),0))</x:f>
      </x:c>
      <x:c r="H62" s="16" t="str">
        <x:f>IF(A62="","",IF(G62=1,IF(COUNTIFS($B$6:B62,B62,$F$6:F62,F62,$G$6:G62,1)=1,1,0),0))</x:f>
      </x:c>
      <x:c r="I62" s="16" t="str">
        <x:f>IF(A62="","",IF(AND(D62="反例",COUNTIF('问题归类'!$A$6:$A$35,B62)=1,COUNTIF('评论证据'!$AA$6:$AA$205,C62)&gt;0,COUNTIFS($B$6:B62,B62,$C$6:C62,C62,$D$6:D62,"反例")=1),1,0))</x:f>
      </x:c>
      <x:c r="J62" s="16" t="str">
        <x:f>IF(A62="","",IF(COUNTIF('问题归类'!$A$6:$A$35,B62)&lt;&gt;1,"问题编号缺失或重复",IF(COUNTIF('评论证据'!$D$6:$D$205,C62)=0,"评论编号缺失",IF(COUNTIFS($B$6:B62,B62,$C$6:C62,C62,$D$6:D62,D62)&gt;1,"重复关联不重复计数",""))))</x:f>
      </x:c>
    </x:row>
    <x:row r="63" ht="36" customHeight="1">
      <x:c r="A63" s="11"/>
      <x:c r="B63" s="11"/>
      <x:c r="C63" s="11"/>
      <x:c r="D63" s="11"/>
      <x:c r="E63" s="11"/>
      <x:c r="F63" s="16" t="str">
        <x:f>IF(A63="","",IF(COUNTIF('评论证据'!$AA$6:$AA$205,C63)=0,"缺可定位研究评论",INDEX('评论证据'!$E$6:$E$205,MATCH(C63,'评论证据'!$AA$6:$AA$205,0))))</x:f>
      </x:c>
      <x:c r="G63" s="16" t="str">
        <x:f>IF(A63="","",IF(AND(B63&lt;&gt;"",C63&lt;&gt;"",D63="支持",COUNTIF('问题归类'!$A$6:$A$35,B63)=1,COUNTIFS('评论证据'!$D$6:$D$205,C63,'评论证据'!$T$6:$T$205,1,'评论证据'!$C$6:$C$205,"研究")&gt;0,COUNTIFS($B$6:B63,B63,$C$6:C63,C63,$D$6:D63,"支持")=1),IF(INDEX('问题归类'!$G$6:$G$35,MATCH(B63,'问题归类'!$A$6:$A$35,0))="有效",1,0),0))</x:f>
      </x:c>
      <x:c r="H63" s="16" t="str">
        <x:f>IF(A63="","",IF(G63=1,IF(COUNTIFS($B$6:B63,B63,$F$6:F63,F63,$G$6:G63,1)=1,1,0),0))</x:f>
      </x:c>
      <x:c r="I63" s="16" t="str">
        <x:f>IF(A63="","",IF(AND(D63="反例",COUNTIF('问题归类'!$A$6:$A$35,B63)=1,COUNTIF('评论证据'!$AA$6:$AA$205,C63)&gt;0,COUNTIFS($B$6:B63,B63,$C$6:C63,C63,$D$6:D63,"反例")=1),1,0))</x:f>
      </x:c>
      <x:c r="J63" s="16" t="str">
        <x:f>IF(A63="","",IF(COUNTIF('问题归类'!$A$6:$A$35,B63)&lt;&gt;1,"问题编号缺失或重复",IF(COUNTIF('评论证据'!$D$6:$D$205,C63)=0,"评论编号缺失",IF(COUNTIFS($B$6:B63,B63,$C$6:C63,C63,$D$6:D63,D63)&gt;1,"重复关联不重复计数",""))))</x:f>
      </x:c>
    </x:row>
    <x:row r="64" ht="36" customHeight="1">
      <x:c r="A64" s="11"/>
      <x:c r="B64" s="11"/>
      <x:c r="C64" s="11"/>
      <x:c r="D64" s="11"/>
      <x:c r="E64" s="11"/>
      <x:c r="F64" s="16" t="str">
        <x:f>IF(A64="","",IF(COUNTIF('评论证据'!$AA$6:$AA$205,C64)=0,"缺可定位研究评论",INDEX('评论证据'!$E$6:$E$205,MATCH(C64,'评论证据'!$AA$6:$AA$205,0))))</x:f>
      </x:c>
      <x:c r="G64" s="16" t="str">
        <x:f>IF(A64="","",IF(AND(B64&lt;&gt;"",C64&lt;&gt;"",D64="支持",COUNTIF('问题归类'!$A$6:$A$35,B64)=1,COUNTIFS('评论证据'!$D$6:$D$205,C64,'评论证据'!$T$6:$T$205,1,'评论证据'!$C$6:$C$205,"研究")&gt;0,COUNTIFS($B$6:B64,B64,$C$6:C64,C64,$D$6:D64,"支持")=1),IF(INDEX('问题归类'!$G$6:$G$35,MATCH(B64,'问题归类'!$A$6:$A$35,0))="有效",1,0),0))</x:f>
      </x:c>
      <x:c r="H64" s="16" t="str">
        <x:f>IF(A64="","",IF(G64=1,IF(COUNTIFS($B$6:B64,B64,$F$6:F64,F64,$G$6:G64,1)=1,1,0),0))</x:f>
      </x:c>
      <x:c r="I64" s="16" t="str">
        <x:f>IF(A64="","",IF(AND(D64="反例",COUNTIF('问题归类'!$A$6:$A$35,B64)=1,COUNTIF('评论证据'!$AA$6:$AA$205,C64)&gt;0,COUNTIFS($B$6:B64,B64,$C$6:C64,C64,$D$6:D64,"反例")=1),1,0))</x:f>
      </x:c>
      <x:c r="J64" s="16" t="str">
        <x:f>IF(A64="","",IF(COUNTIF('问题归类'!$A$6:$A$35,B64)&lt;&gt;1,"问题编号缺失或重复",IF(COUNTIF('评论证据'!$D$6:$D$205,C64)=0,"评论编号缺失",IF(COUNTIFS($B$6:B64,B64,$C$6:C64,C64,$D$6:D64,D64)&gt;1,"重复关联不重复计数",""))))</x:f>
      </x:c>
    </x:row>
    <x:row r="65" ht="36" customHeight="1">
      <x:c r="A65" s="11"/>
      <x:c r="B65" s="11"/>
      <x:c r="C65" s="11"/>
      <x:c r="D65" s="11"/>
      <x:c r="E65" s="11"/>
      <x:c r="F65" s="16" t="str">
        <x:f>IF(A65="","",IF(COUNTIF('评论证据'!$AA$6:$AA$205,C65)=0,"缺可定位研究评论",INDEX('评论证据'!$E$6:$E$205,MATCH(C65,'评论证据'!$AA$6:$AA$205,0))))</x:f>
      </x:c>
      <x:c r="G65" s="16" t="str">
        <x:f>IF(A65="","",IF(AND(B65&lt;&gt;"",C65&lt;&gt;"",D65="支持",COUNTIF('问题归类'!$A$6:$A$35,B65)=1,COUNTIFS('评论证据'!$D$6:$D$205,C65,'评论证据'!$T$6:$T$205,1,'评论证据'!$C$6:$C$205,"研究")&gt;0,COUNTIFS($B$6:B65,B65,$C$6:C65,C65,$D$6:D65,"支持")=1),IF(INDEX('问题归类'!$G$6:$G$35,MATCH(B65,'问题归类'!$A$6:$A$35,0))="有效",1,0),0))</x:f>
      </x:c>
      <x:c r="H65" s="16" t="str">
        <x:f>IF(A65="","",IF(G65=1,IF(COUNTIFS($B$6:B65,B65,$F$6:F65,F65,$G$6:G65,1)=1,1,0),0))</x:f>
      </x:c>
      <x:c r="I65" s="16" t="str">
        <x:f>IF(A65="","",IF(AND(D65="反例",COUNTIF('问题归类'!$A$6:$A$35,B65)=1,COUNTIF('评论证据'!$AA$6:$AA$205,C65)&gt;0,COUNTIFS($B$6:B65,B65,$C$6:C65,C65,$D$6:D65,"反例")=1),1,0))</x:f>
      </x:c>
      <x:c r="J65" s="16" t="str">
        <x:f>IF(A65="","",IF(COUNTIF('问题归类'!$A$6:$A$35,B65)&lt;&gt;1,"问题编号缺失或重复",IF(COUNTIF('评论证据'!$D$6:$D$205,C65)=0,"评论编号缺失",IF(COUNTIFS($B$6:B65,B65,$C$6:C65,C65,$D$6:D65,D65)&gt;1,"重复关联不重复计数",""))))</x:f>
      </x:c>
    </x:row>
    <x:row r="66" ht="36" customHeight="1">
      <x:c r="A66" s="11"/>
      <x:c r="B66" s="11"/>
      <x:c r="C66" s="11"/>
      <x:c r="D66" s="11"/>
      <x:c r="E66" s="11"/>
      <x:c r="F66" s="16" t="str">
        <x:f>IF(A66="","",IF(COUNTIF('评论证据'!$AA$6:$AA$205,C66)=0,"缺可定位研究评论",INDEX('评论证据'!$E$6:$E$205,MATCH(C66,'评论证据'!$AA$6:$AA$205,0))))</x:f>
      </x:c>
      <x:c r="G66" s="16" t="str">
        <x:f>IF(A66="","",IF(AND(B66&lt;&gt;"",C66&lt;&gt;"",D66="支持",COUNTIF('问题归类'!$A$6:$A$35,B66)=1,COUNTIFS('评论证据'!$D$6:$D$205,C66,'评论证据'!$T$6:$T$205,1,'评论证据'!$C$6:$C$205,"研究")&gt;0,COUNTIFS($B$6:B66,B66,$C$6:C66,C66,$D$6:D66,"支持")=1),IF(INDEX('问题归类'!$G$6:$G$35,MATCH(B66,'问题归类'!$A$6:$A$35,0))="有效",1,0),0))</x:f>
      </x:c>
      <x:c r="H66" s="16" t="str">
        <x:f>IF(A66="","",IF(G66=1,IF(COUNTIFS($B$6:B66,B66,$F$6:F66,F66,$G$6:G66,1)=1,1,0),0))</x:f>
      </x:c>
      <x:c r="I66" s="16" t="str">
        <x:f>IF(A66="","",IF(AND(D66="反例",COUNTIF('问题归类'!$A$6:$A$35,B66)=1,COUNTIF('评论证据'!$AA$6:$AA$205,C66)&gt;0,COUNTIFS($B$6:B66,B66,$C$6:C66,C66,$D$6:D66,"反例")=1),1,0))</x:f>
      </x:c>
      <x:c r="J66" s="16" t="str">
        <x:f>IF(A66="","",IF(COUNTIF('问题归类'!$A$6:$A$35,B66)&lt;&gt;1,"问题编号缺失或重复",IF(COUNTIF('评论证据'!$D$6:$D$205,C66)=0,"评论编号缺失",IF(COUNTIFS($B$6:B66,B66,$C$6:C66,C66,$D$6:D66,D66)&gt;1,"重复关联不重复计数",""))))</x:f>
      </x:c>
    </x:row>
    <x:row r="67" ht="36" customHeight="1">
      <x:c r="A67" s="11"/>
      <x:c r="B67" s="11"/>
      <x:c r="C67" s="11"/>
      <x:c r="D67" s="11"/>
      <x:c r="E67" s="11"/>
      <x:c r="F67" s="16" t="str">
        <x:f>IF(A67="","",IF(COUNTIF('评论证据'!$AA$6:$AA$205,C67)=0,"缺可定位研究评论",INDEX('评论证据'!$E$6:$E$205,MATCH(C67,'评论证据'!$AA$6:$AA$205,0))))</x:f>
      </x:c>
      <x:c r="G67" s="16" t="str">
        <x:f>IF(A67="","",IF(AND(B67&lt;&gt;"",C67&lt;&gt;"",D67="支持",COUNTIF('问题归类'!$A$6:$A$35,B67)=1,COUNTIFS('评论证据'!$D$6:$D$205,C67,'评论证据'!$T$6:$T$205,1,'评论证据'!$C$6:$C$205,"研究")&gt;0,COUNTIFS($B$6:B67,B67,$C$6:C67,C67,$D$6:D67,"支持")=1),IF(INDEX('问题归类'!$G$6:$G$35,MATCH(B67,'问题归类'!$A$6:$A$35,0))="有效",1,0),0))</x:f>
      </x:c>
      <x:c r="H67" s="16" t="str">
        <x:f>IF(A67="","",IF(G67=1,IF(COUNTIFS($B$6:B67,B67,$F$6:F67,F67,$G$6:G67,1)=1,1,0),0))</x:f>
      </x:c>
      <x:c r="I67" s="16" t="str">
        <x:f>IF(A67="","",IF(AND(D67="反例",COUNTIF('问题归类'!$A$6:$A$35,B67)=1,COUNTIF('评论证据'!$AA$6:$AA$205,C67)&gt;0,COUNTIFS($B$6:B67,B67,$C$6:C67,C67,$D$6:D67,"反例")=1),1,0))</x:f>
      </x:c>
      <x:c r="J67" s="16" t="str">
        <x:f>IF(A67="","",IF(COUNTIF('问题归类'!$A$6:$A$35,B67)&lt;&gt;1,"问题编号缺失或重复",IF(COUNTIF('评论证据'!$D$6:$D$205,C67)=0,"评论编号缺失",IF(COUNTIFS($B$6:B67,B67,$C$6:C67,C67,$D$6:D67,D67)&gt;1,"重复关联不重复计数",""))))</x:f>
      </x:c>
    </x:row>
    <x:row r="68" ht="36" customHeight="1">
      <x:c r="A68" s="11"/>
      <x:c r="B68" s="11"/>
      <x:c r="C68" s="11"/>
      <x:c r="D68" s="11"/>
      <x:c r="E68" s="11"/>
      <x:c r="F68" s="16" t="str">
        <x:f>IF(A68="","",IF(COUNTIF('评论证据'!$AA$6:$AA$205,C68)=0,"缺可定位研究评论",INDEX('评论证据'!$E$6:$E$205,MATCH(C68,'评论证据'!$AA$6:$AA$205,0))))</x:f>
      </x:c>
      <x:c r="G68" s="16" t="str">
        <x:f>IF(A68="","",IF(AND(B68&lt;&gt;"",C68&lt;&gt;"",D68="支持",COUNTIF('问题归类'!$A$6:$A$35,B68)=1,COUNTIFS('评论证据'!$D$6:$D$205,C68,'评论证据'!$T$6:$T$205,1,'评论证据'!$C$6:$C$205,"研究")&gt;0,COUNTIFS($B$6:B68,B68,$C$6:C68,C68,$D$6:D68,"支持")=1),IF(INDEX('问题归类'!$G$6:$G$35,MATCH(B68,'问题归类'!$A$6:$A$35,0))="有效",1,0),0))</x:f>
      </x:c>
      <x:c r="H68" s="16" t="str">
        <x:f>IF(A68="","",IF(G68=1,IF(COUNTIFS($B$6:B68,B68,$F$6:F68,F68,$G$6:G68,1)=1,1,0),0))</x:f>
      </x:c>
      <x:c r="I68" s="16" t="str">
        <x:f>IF(A68="","",IF(AND(D68="反例",COUNTIF('问题归类'!$A$6:$A$35,B68)=1,COUNTIF('评论证据'!$AA$6:$AA$205,C68)&gt;0,COUNTIFS($B$6:B68,B68,$C$6:C68,C68,$D$6:D68,"反例")=1),1,0))</x:f>
      </x:c>
      <x:c r="J68" s="16" t="str">
        <x:f>IF(A68="","",IF(COUNTIF('问题归类'!$A$6:$A$35,B68)&lt;&gt;1,"问题编号缺失或重复",IF(COUNTIF('评论证据'!$D$6:$D$205,C68)=0,"评论编号缺失",IF(COUNTIFS($B$6:B68,B68,$C$6:C68,C68,$D$6:D68,D68)&gt;1,"重复关联不重复计数",""))))</x:f>
      </x:c>
    </x:row>
    <x:row r="69" ht="36" customHeight="1">
      <x:c r="A69" s="11"/>
      <x:c r="B69" s="11"/>
      <x:c r="C69" s="11"/>
      <x:c r="D69" s="11"/>
      <x:c r="E69" s="11"/>
      <x:c r="F69" s="16" t="str">
        <x:f>IF(A69="","",IF(COUNTIF('评论证据'!$AA$6:$AA$205,C69)=0,"缺可定位研究评论",INDEX('评论证据'!$E$6:$E$205,MATCH(C69,'评论证据'!$AA$6:$AA$205,0))))</x:f>
      </x:c>
      <x:c r="G69" s="16" t="str">
        <x:f>IF(A69="","",IF(AND(B69&lt;&gt;"",C69&lt;&gt;"",D69="支持",COUNTIF('问题归类'!$A$6:$A$35,B69)=1,COUNTIFS('评论证据'!$D$6:$D$205,C69,'评论证据'!$T$6:$T$205,1,'评论证据'!$C$6:$C$205,"研究")&gt;0,COUNTIFS($B$6:B69,B69,$C$6:C69,C69,$D$6:D69,"支持")=1),IF(INDEX('问题归类'!$G$6:$G$35,MATCH(B69,'问题归类'!$A$6:$A$35,0))="有效",1,0),0))</x:f>
      </x:c>
      <x:c r="H69" s="16" t="str">
        <x:f>IF(A69="","",IF(G69=1,IF(COUNTIFS($B$6:B69,B69,$F$6:F69,F69,$G$6:G69,1)=1,1,0),0))</x:f>
      </x:c>
      <x:c r="I69" s="16" t="str">
        <x:f>IF(A69="","",IF(AND(D69="反例",COUNTIF('问题归类'!$A$6:$A$35,B69)=1,COUNTIF('评论证据'!$AA$6:$AA$205,C69)&gt;0,COUNTIFS($B$6:B69,B69,$C$6:C69,C69,$D$6:D69,"反例")=1),1,0))</x:f>
      </x:c>
      <x:c r="J69" s="16" t="str">
        <x:f>IF(A69="","",IF(COUNTIF('问题归类'!$A$6:$A$35,B69)&lt;&gt;1,"问题编号缺失或重复",IF(COUNTIF('评论证据'!$D$6:$D$205,C69)=0,"评论编号缺失",IF(COUNTIFS($B$6:B69,B69,$C$6:C69,C69,$D$6:D69,D69)&gt;1,"重复关联不重复计数",""))))</x:f>
      </x:c>
    </x:row>
    <x:row r="70" ht="36" customHeight="1">
      <x:c r="A70" s="11"/>
      <x:c r="B70" s="11"/>
      <x:c r="C70" s="11"/>
      <x:c r="D70" s="11"/>
      <x:c r="E70" s="11"/>
      <x:c r="F70" s="16" t="str">
        <x:f>IF(A70="","",IF(COUNTIF('评论证据'!$AA$6:$AA$205,C70)=0,"缺可定位研究评论",INDEX('评论证据'!$E$6:$E$205,MATCH(C70,'评论证据'!$AA$6:$AA$205,0))))</x:f>
      </x:c>
      <x:c r="G70" s="16" t="str">
        <x:f>IF(A70="","",IF(AND(B70&lt;&gt;"",C70&lt;&gt;"",D70="支持",COUNTIF('问题归类'!$A$6:$A$35,B70)=1,COUNTIFS('评论证据'!$D$6:$D$205,C70,'评论证据'!$T$6:$T$205,1,'评论证据'!$C$6:$C$205,"研究")&gt;0,COUNTIFS($B$6:B70,B70,$C$6:C70,C70,$D$6:D70,"支持")=1),IF(INDEX('问题归类'!$G$6:$G$35,MATCH(B70,'问题归类'!$A$6:$A$35,0))="有效",1,0),0))</x:f>
      </x:c>
      <x:c r="H70" s="16" t="str">
        <x:f>IF(A70="","",IF(G70=1,IF(COUNTIFS($B$6:B70,B70,$F$6:F70,F70,$G$6:G70,1)=1,1,0),0))</x:f>
      </x:c>
      <x:c r="I70" s="16" t="str">
        <x:f>IF(A70="","",IF(AND(D70="反例",COUNTIF('问题归类'!$A$6:$A$35,B70)=1,COUNTIF('评论证据'!$AA$6:$AA$205,C70)&gt;0,COUNTIFS($B$6:B70,B70,$C$6:C70,C70,$D$6:D70,"反例")=1),1,0))</x:f>
      </x:c>
      <x:c r="J70" s="16" t="str">
        <x:f>IF(A70="","",IF(COUNTIF('问题归类'!$A$6:$A$35,B70)&lt;&gt;1,"问题编号缺失或重复",IF(COUNTIF('评论证据'!$D$6:$D$205,C70)=0,"评论编号缺失",IF(COUNTIFS($B$6:B70,B70,$C$6:C70,C70,$D$6:D70,D70)&gt;1,"重复关联不重复计数",""))))</x:f>
      </x:c>
    </x:row>
    <x:row r="71" ht="36" customHeight="1">
      <x:c r="A71" s="11"/>
      <x:c r="B71" s="11"/>
      <x:c r="C71" s="11"/>
      <x:c r="D71" s="11"/>
      <x:c r="E71" s="11"/>
      <x:c r="F71" s="16" t="str">
        <x:f>IF(A71="","",IF(COUNTIF('评论证据'!$AA$6:$AA$205,C71)=0,"缺可定位研究评论",INDEX('评论证据'!$E$6:$E$205,MATCH(C71,'评论证据'!$AA$6:$AA$205,0))))</x:f>
      </x:c>
      <x:c r="G71" s="16" t="str">
        <x:f>IF(A71="","",IF(AND(B71&lt;&gt;"",C71&lt;&gt;"",D71="支持",COUNTIF('问题归类'!$A$6:$A$35,B71)=1,COUNTIFS('评论证据'!$D$6:$D$205,C71,'评论证据'!$T$6:$T$205,1,'评论证据'!$C$6:$C$205,"研究")&gt;0,COUNTIFS($B$6:B71,B71,$C$6:C71,C71,$D$6:D71,"支持")=1),IF(INDEX('问题归类'!$G$6:$G$35,MATCH(B71,'问题归类'!$A$6:$A$35,0))="有效",1,0),0))</x:f>
      </x:c>
      <x:c r="H71" s="16" t="str">
        <x:f>IF(A71="","",IF(G71=1,IF(COUNTIFS($B$6:B71,B71,$F$6:F71,F71,$G$6:G71,1)=1,1,0),0))</x:f>
      </x:c>
      <x:c r="I71" s="16" t="str">
        <x:f>IF(A71="","",IF(AND(D71="反例",COUNTIF('问题归类'!$A$6:$A$35,B71)=1,COUNTIF('评论证据'!$AA$6:$AA$205,C71)&gt;0,COUNTIFS($B$6:B71,B71,$C$6:C71,C71,$D$6:D71,"反例")=1),1,0))</x:f>
      </x:c>
      <x:c r="J71" s="16" t="str">
        <x:f>IF(A71="","",IF(COUNTIF('问题归类'!$A$6:$A$35,B71)&lt;&gt;1,"问题编号缺失或重复",IF(COUNTIF('评论证据'!$D$6:$D$205,C71)=0,"评论编号缺失",IF(COUNTIFS($B$6:B71,B71,$C$6:C71,C71,$D$6:D71,D71)&gt;1,"重复关联不重复计数",""))))</x:f>
      </x:c>
    </x:row>
    <x:row r="72" ht="36" customHeight="1">
      <x:c r="A72" s="11"/>
      <x:c r="B72" s="11"/>
      <x:c r="C72" s="11"/>
      <x:c r="D72" s="11"/>
      <x:c r="E72" s="11"/>
      <x:c r="F72" s="16" t="str">
        <x:f>IF(A72="","",IF(COUNTIF('评论证据'!$AA$6:$AA$205,C72)=0,"缺可定位研究评论",INDEX('评论证据'!$E$6:$E$205,MATCH(C72,'评论证据'!$AA$6:$AA$205,0))))</x:f>
      </x:c>
      <x:c r="G72" s="16" t="str">
        <x:f>IF(A72="","",IF(AND(B72&lt;&gt;"",C72&lt;&gt;"",D72="支持",COUNTIF('问题归类'!$A$6:$A$35,B72)=1,COUNTIFS('评论证据'!$D$6:$D$205,C72,'评论证据'!$T$6:$T$205,1,'评论证据'!$C$6:$C$205,"研究")&gt;0,COUNTIFS($B$6:B72,B72,$C$6:C72,C72,$D$6:D72,"支持")=1),IF(INDEX('问题归类'!$G$6:$G$35,MATCH(B72,'问题归类'!$A$6:$A$35,0))="有效",1,0),0))</x:f>
      </x:c>
      <x:c r="H72" s="16" t="str">
        <x:f>IF(A72="","",IF(G72=1,IF(COUNTIFS($B$6:B72,B72,$F$6:F72,F72,$G$6:G72,1)=1,1,0),0))</x:f>
      </x:c>
      <x:c r="I72" s="16" t="str">
        <x:f>IF(A72="","",IF(AND(D72="反例",COUNTIF('问题归类'!$A$6:$A$35,B72)=1,COUNTIF('评论证据'!$AA$6:$AA$205,C72)&gt;0,COUNTIFS($B$6:B72,B72,$C$6:C72,C72,$D$6:D72,"反例")=1),1,0))</x:f>
      </x:c>
      <x:c r="J72" s="16" t="str">
        <x:f>IF(A72="","",IF(COUNTIF('问题归类'!$A$6:$A$35,B72)&lt;&gt;1,"问题编号缺失或重复",IF(COUNTIF('评论证据'!$D$6:$D$205,C72)=0,"评论编号缺失",IF(COUNTIFS($B$6:B72,B72,$C$6:C72,C72,$D$6:D72,D72)&gt;1,"重复关联不重复计数",""))))</x:f>
      </x:c>
    </x:row>
    <x:row r="73" ht="36" customHeight="1">
      <x:c r="A73" s="11"/>
      <x:c r="B73" s="11"/>
      <x:c r="C73" s="11"/>
      <x:c r="D73" s="11"/>
      <x:c r="E73" s="11"/>
      <x:c r="F73" s="16" t="str">
        <x:f>IF(A73="","",IF(COUNTIF('评论证据'!$AA$6:$AA$205,C73)=0,"缺可定位研究评论",INDEX('评论证据'!$E$6:$E$205,MATCH(C73,'评论证据'!$AA$6:$AA$205,0))))</x:f>
      </x:c>
      <x:c r="G73" s="16" t="str">
        <x:f>IF(A73="","",IF(AND(B73&lt;&gt;"",C73&lt;&gt;"",D73="支持",COUNTIF('问题归类'!$A$6:$A$35,B73)=1,COUNTIFS('评论证据'!$D$6:$D$205,C73,'评论证据'!$T$6:$T$205,1,'评论证据'!$C$6:$C$205,"研究")&gt;0,COUNTIFS($B$6:B73,B73,$C$6:C73,C73,$D$6:D73,"支持")=1),IF(INDEX('问题归类'!$G$6:$G$35,MATCH(B73,'问题归类'!$A$6:$A$35,0))="有效",1,0),0))</x:f>
      </x:c>
      <x:c r="H73" s="16" t="str">
        <x:f>IF(A73="","",IF(G73=1,IF(COUNTIFS($B$6:B73,B73,$F$6:F73,F73,$G$6:G73,1)=1,1,0),0))</x:f>
      </x:c>
      <x:c r="I73" s="16" t="str">
        <x:f>IF(A73="","",IF(AND(D73="反例",COUNTIF('问题归类'!$A$6:$A$35,B73)=1,COUNTIF('评论证据'!$AA$6:$AA$205,C73)&gt;0,COUNTIFS($B$6:B73,B73,$C$6:C73,C73,$D$6:D73,"反例")=1),1,0))</x:f>
      </x:c>
      <x:c r="J73" s="16" t="str">
        <x:f>IF(A73="","",IF(COUNTIF('问题归类'!$A$6:$A$35,B73)&lt;&gt;1,"问题编号缺失或重复",IF(COUNTIF('评论证据'!$D$6:$D$205,C73)=0,"评论编号缺失",IF(COUNTIFS($B$6:B73,B73,$C$6:C73,C73,$D$6:D73,D73)&gt;1,"重复关联不重复计数",""))))</x:f>
      </x:c>
    </x:row>
    <x:row r="74" ht="36" customHeight="1">
      <x:c r="A74" s="11"/>
      <x:c r="B74" s="11"/>
      <x:c r="C74" s="11"/>
      <x:c r="D74" s="11"/>
      <x:c r="E74" s="11"/>
      <x:c r="F74" s="16" t="str">
        <x:f>IF(A74="","",IF(COUNTIF('评论证据'!$AA$6:$AA$205,C74)=0,"缺可定位研究评论",INDEX('评论证据'!$E$6:$E$205,MATCH(C74,'评论证据'!$AA$6:$AA$205,0))))</x:f>
      </x:c>
      <x:c r="G74" s="16" t="str">
        <x:f>IF(A74="","",IF(AND(B74&lt;&gt;"",C74&lt;&gt;"",D74="支持",COUNTIF('问题归类'!$A$6:$A$35,B74)=1,COUNTIFS('评论证据'!$D$6:$D$205,C74,'评论证据'!$T$6:$T$205,1,'评论证据'!$C$6:$C$205,"研究")&gt;0,COUNTIFS($B$6:B74,B74,$C$6:C74,C74,$D$6:D74,"支持")=1),IF(INDEX('问题归类'!$G$6:$G$35,MATCH(B74,'问题归类'!$A$6:$A$35,0))="有效",1,0),0))</x:f>
      </x:c>
      <x:c r="H74" s="16" t="str">
        <x:f>IF(A74="","",IF(G74=1,IF(COUNTIFS($B$6:B74,B74,$F$6:F74,F74,$G$6:G74,1)=1,1,0),0))</x:f>
      </x:c>
      <x:c r="I74" s="16" t="str">
        <x:f>IF(A74="","",IF(AND(D74="反例",COUNTIF('问题归类'!$A$6:$A$35,B74)=1,COUNTIF('评论证据'!$AA$6:$AA$205,C74)&gt;0,COUNTIFS($B$6:B74,B74,$C$6:C74,C74,$D$6:D74,"反例")=1),1,0))</x:f>
      </x:c>
      <x:c r="J74" s="16" t="str">
        <x:f>IF(A74="","",IF(COUNTIF('问题归类'!$A$6:$A$35,B74)&lt;&gt;1,"问题编号缺失或重复",IF(COUNTIF('评论证据'!$D$6:$D$205,C74)=0,"评论编号缺失",IF(COUNTIFS($B$6:B74,B74,$C$6:C74,C74,$D$6:D74,D74)&gt;1,"重复关联不重复计数",""))))</x:f>
      </x:c>
    </x:row>
    <x:row r="75" ht="36" customHeight="1">
      <x:c r="A75" s="11"/>
      <x:c r="B75" s="11"/>
      <x:c r="C75" s="11"/>
      <x:c r="D75" s="11"/>
      <x:c r="E75" s="11"/>
      <x:c r="F75" s="16" t="str">
        <x:f>IF(A75="","",IF(COUNTIF('评论证据'!$AA$6:$AA$205,C75)=0,"缺可定位研究评论",INDEX('评论证据'!$E$6:$E$205,MATCH(C75,'评论证据'!$AA$6:$AA$205,0))))</x:f>
      </x:c>
      <x:c r="G75" s="16" t="str">
        <x:f>IF(A75="","",IF(AND(B75&lt;&gt;"",C75&lt;&gt;"",D75="支持",COUNTIF('问题归类'!$A$6:$A$35,B75)=1,COUNTIFS('评论证据'!$D$6:$D$205,C75,'评论证据'!$T$6:$T$205,1,'评论证据'!$C$6:$C$205,"研究")&gt;0,COUNTIFS($B$6:B75,B75,$C$6:C75,C75,$D$6:D75,"支持")=1),IF(INDEX('问题归类'!$G$6:$G$35,MATCH(B75,'问题归类'!$A$6:$A$35,0))="有效",1,0),0))</x:f>
      </x:c>
      <x:c r="H75" s="16" t="str">
        <x:f>IF(A75="","",IF(G75=1,IF(COUNTIFS($B$6:B75,B75,$F$6:F75,F75,$G$6:G75,1)=1,1,0),0))</x:f>
      </x:c>
      <x:c r="I75" s="16" t="str">
        <x:f>IF(A75="","",IF(AND(D75="反例",COUNTIF('问题归类'!$A$6:$A$35,B75)=1,COUNTIF('评论证据'!$AA$6:$AA$205,C75)&gt;0,COUNTIFS($B$6:B75,B75,$C$6:C75,C75,$D$6:D75,"反例")=1),1,0))</x:f>
      </x:c>
      <x:c r="J75" s="16" t="str">
        <x:f>IF(A75="","",IF(COUNTIF('问题归类'!$A$6:$A$35,B75)&lt;&gt;1,"问题编号缺失或重复",IF(COUNTIF('评论证据'!$D$6:$D$205,C75)=0,"评论编号缺失",IF(COUNTIFS($B$6:B75,B75,$C$6:C75,C75,$D$6:D75,D75)&gt;1,"重复关联不重复计数",""))))</x:f>
      </x:c>
    </x:row>
    <x:row r="76" ht="36" customHeight="1">
      <x:c r="A76" s="11"/>
      <x:c r="B76" s="11"/>
      <x:c r="C76" s="11"/>
      <x:c r="D76" s="11"/>
      <x:c r="E76" s="11"/>
      <x:c r="F76" s="16" t="str">
        <x:f>IF(A76="","",IF(COUNTIF('评论证据'!$AA$6:$AA$205,C76)=0,"缺可定位研究评论",INDEX('评论证据'!$E$6:$E$205,MATCH(C76,'评论证据'!$AA$6:$AA$205,0))))</x:f>
      </x:c>
      <x:c r="G76" s="16" t="str">
        <x:f>IF(A76="","",IF(AND(B76&lt;&gt;"",C76&lt;&gt;"",D76="支持",COUNTIF('问题归类'!$A$6:$A$35,B76)=1,COUNTIFS('评论证据'!$D$6:$D$205,C76,'评论证据'!$T$6:$T$205,1,'评论证据'!$C$6:$C$205,"研究")&gt;0,COUNTIFS($B$6:B76,B76,$C$6:C76,C76,$D$6:D76,"支持")=1),IF(INDEX('问题归类'!$G$6:$G$35,MATCH(B76,'问题归类'!$A$6:$A$35,0))="有效",1,0),0))</x:f>
      </x:c>
      <x:c r="H76" s="16" t="str">
        <x:f>IF(A76="","",IF(G76=1,IF(COUNTIFS($B$6:B76,B76,$F$6:F76,F76,$G$6:G76,1)=1,1,0),0))</x:f>
      </x:c>
      <x:c r="I76" s="16" t="str">
        <x:f>IF(A76="","",IF(AND(D76="反例",COUNTIF('问题归类'!$A$6:$A$35,B76)=1,COUNTIF('评论证据'!$AA$6:$AA$205,C76)&gt;0,COUNTIFS($B$6:B76,B76,$C$6:C76,C76,$D$6:D76,"反例")=1),1,0))</x:f>
      </x:c>
      <x:c r="J76" s="16" t="str">
        <x:f>IF(A76="","",IF(COUNTIF('问题归类'!$A$6:$A$35,B76)&lt;&gt;1,"问题编号缺失或重复",IF(COUNTIF('评论证据'!$D$6:$D$205,C76)=0,"评论编号缺失",IF(COUNTIFS($B$6:B76,B76,$C$6:C76,C76,$D$6:D76,D76)&gt;1,"重复关联不重复计数",""))))</x:f>
      </x:c>
    </x:row>
    <x:row r="77" ht="36" customHeight="1">
      <x:c r="A77" s="11"/>
      <x:c r="B77" s="11"/>
      <x:c r="C77" s="11"/>
      <x:c r="D77" s="11"/>
      <x:c r="E77" s="11"/>
      <x:c r="F77" s="16" t="str">
        <x:f>IF(A77="","",IF(COUNTIF('评论证据'!$AA$6:$AA$205,C77)=0,"缺可定位研究评论",INDEX('评论证据'!$E$6:$E$205,MATCH(C77,'评论证据'!$AA$6:$AA$205,0))))</x:f>
      </x:c>
      <x:c r="G77" s="16" t="str">
        <x:f>IF(A77="","",IF(AND(B77&lt;&gt;"",C77&lt;&gt;"",D77="支持",COUNTIF('问题归类'!$A$6:$A$35,B77)=1,COUNTIFS('评论证据'!$D$6:$D$205,C77,'评论证据'!$T$6:$T$205,1,'评论证据'!$C$6:$C$205,"研究")&gt;0,COUNTIFS($B$6:B77,B77,$C$6:C77,C77,$D$6:D77,"支持")=1),IF(INDEX('问题归类'!$G$6:$G$35,MATCH(B77,'问题归类'!$A$6:$A$35,0))="有效",1,0),0))</x:f>
      </x:c>
      <x:c r="H77" s="16" t="str">
        <x:f>IF(A77="","",IF(G77=1,IF(COUNTIFS($B$6:B77,B77,$F$6:F77,F77,$G$6:G77,1)=1,1,0),0))</x:f>
      </x:c>
      <x:c r="I77" s="16" t="str">
        <x:f>IF(A77="","",IF(AND(D77="反例",COUNTIF('问题归类'!$A$6:$A$35,B77)=1,COUNTIF('评论证据'!$AA$6:$AA$205,C77)&gt;0,COUNTIFS($B$6:B77,B77,$C$6:C77,C77,$D$6:D77,"反例")=1),1,0))</x:f>
      </x:c>
      <x:c r="J77" s="16" t="str">
        <x:f>IF(A77="","",IF(COUNTIF('问题归类'!$A$6:$A$35,B77)&lt;&gt;1,"问题编号缺失或重复",IF(COUNTIF('评论证据'!$D$6:$D$205,C77)=0,"评论编号缺失",IF(COUNTIFS($B$6:B77,B77,$C$6:C77,C77,$D$6:D77,D77)&gt;1,"重复关联不重复计数",""))))</x:f>
      </x:c>
    </x:row>
    <x:row r="78" ht="36" customHeight="1">
      <x:c r="A78" s="11"/>
      <x:c r="B78" s="11"/>
      <x:c r="C78" s="11"/>
      <x:c r="D78" s="11"/>
      <x:c r="E78" s="11"/>
      <x:c r="F78" s="16" t="str">
        <x:f>IF(A78="","",IF(COUNTIF('评论证据'!$AA$6:$AA$205,C78)=0,"缺可定位研究评论",INDEX('评论证据'!$E$6:$E$205,MATCH(C78,'评论证据'!$AA$6:$AA$205,0))))</x:f>
      </x:c>
      <x:c r="G78" s="16" t="str">
        <x:f>IF(A78="","",IF(AND(B78&lt;&gt;"",C78&lt;&gt;"",D78="支持",COUNTIF('问题归类'!$A$6:$A$35,B78)=1,COUNTIFS('评论证据'!$D$6:$D$205,C78,'评论证据'!$T$6:$T$205,1,'评论证据'!$C$6:$C$205,"研究")&gt;0,COUNTIFS($B$6:B78,B78,$C$6:C78,C78,$D$6:D78,"支持")=1),IF(INDEX('问题归类'!$G$6:$G$35,MATCH(B78,'问题归类'!$A$6:$A$35,0))="有效",1,0),0))</x:f>
      </x:c>
      <x:c r="H78" s="16" t="str">
        <x:f>IF(A78="","",IF(G78=1,IF(COUNTIFS($B$6:B78,B78,$F$6:F78,F78,$G$6:G78,1)=1,1,0),0))</x:f>
      </x:c>
      <x:c r="I78" s="16" t="str">
        <x:f>IF(A78="","",IF(AND(D78="反例",COUNTIF('问题归类'!$A$6:$A$35,B78)=1,COUNTIF('评论证据'!$AA$6:$AA$205,C78)&gt;0,COUNTIFS($B$6:B78,B78,$C$6:C78,C78,$D$6:D78,"反例")=1),1,0))</x:f>
      </x:c>
      <x:c r="J78" s="16" t="str">
        <x:f>IF(A78="","",IF(COUNTIF('问题归类'!$A$6:$A$35,B78)&lt;&gt;1,"问题编号缺失或重复",IF(COUNTIF('评论证据'!$D$6:$D$205,C78)=0,"评论编号缺失",IF(COUNTIFS($B$6:B78,B78,$C$6:C78,C78,$D$6:D78,D78)&gt;1,"重复关联不重复计数",""))))</x:f>
      </x:c>
    </x:row>
    <x:row r="79" ht="36" customHeight="1">
      <x:c r="A79" s="11"/>
      <x:c r="B79" s="11"/>
      <x:c r="C79" s="11"/>
      <x:c r="D79" s="11"/>
      <x:c r="E79" s="11"/>
      <x:c r="F79" s="16" t="str">
        <x:f>IF(A79="","",IF(COUNTIF('评论证据'!$AA$6:$AA$205,C79)=0,"缺可定位研究评论",INDEX('评论证据'!$E$6:$E$205,MATCH(C79,'评论证据'!$AA$6:$AA$205,0))))</x:f>
      </x:c>
      <x:c r="G79" s="16" t="str">
        <x:f>IF(A79="","",IF(AND(B79&lt;&gt;"",C79&lt;&gt;"",D79="支持",COUNTIF('问题归类'!$A$6:$A$35,B79)=1,COUNTIFS('评论证据'!$D$6:$D$205,C79,'评论证据'!$T$6:$T$205,1,'评论证据'!$C$6:$C$205,"研究")&gt;0,COUNTIFS($B$6:B79,B79,$C$6:C79,C79,$D$6:D79,"支持")=1),IF(INDEX('问题归类'!$G$6:$G$35,MATCH(B79,'问题归类'!$A$6:$A$35,0))="有效",1,0),0))</x:f>
      </x:c>
      <x:c r="H79" s="16" t="str">
        <x:f>IF(A79="","",IF(G79=1,IF(COUNTIFS($B$6:B79,B79,$F$6:F79,F79,$G$6:G79,1)=1,1,0),0))</x:f>
      </x:c>
      <x:c r="I79" s="16" t="str">
        <x:f>IF(A79="","",IF(AND(D79="反例",COUNTIF('问题归类'!$A$6:$A$35,B79)=1,COUNTIF('评论证据'!$AA$6:$AA$205,C79)&gt;0,COUNTIFS($B$6:B79,B79,$C$6:C79,C79,$D$6:D79,"反例")=1),1,0))</x:f>
      </x:c>
      <x:c r="J79" s="16" t="str">
        <x:f>IF(A79="","",IF(COUNTIF('问题归类'!$A$6:$A$35,B79)&lt;&gt;1,"问题编号缺失或重复",IF(COUNTIF('评论证据'!$D$6:$D$205,C79)=0,"评论编号缺失",IF(COUNTIFS($B$6:B79,B79,$C$6:C79,C79,$D$6:D79,D79)&gt;1,"重复关联不重复计数",""))))</x:f>
      </x:c>
    </x:row>
    <x:row r="80" ht="36" customHeight="1">
      <x:c r="A80" s="11"/>
      <x:c r="B80" s="11"/>
      <x:c r="C80" s="11"/>
      <x:c r="D80" s="11"/>
      <x:c r="E80" s="11"/>
      <x:c r="F80" s="16" t="str">
        <x:f>IF(A80="","",IF(COUNTIF('评论证据'!$AA$6:$AA$205,C80)=0,"缺可定位研究评论",INDEX('评论证据'!$E$6:$E$205,MATCH(C80,'评论证据'!$AA$6:$AA$205,0))))</x:f>
      </x:c>
      <x:c r="G80" s="16" t="str">
        <x:f>IF(A80="","",IF(AND(B80&lt;&gt;"",C80&lt;&gt;"",D80="支持",COUNTIF('问题归类'!$A$6:$A$35,B80)=1,COUNTIFS('评论证据'!$D$6:$D$205,C80,'评论证据'!$T$6:$T$205,1,'评论证据'!$C$6:$C$205,"研究")&gt;0,COUNTIFS($B$6:B80,B80,$C$6:C80,C80,$D$6:D80,"支持")=1),IF(INDEX('问题归类'!$G$6:$G$35,MATCH(B80,'问题归类'!$A$6:$A$35,0))="有效",1,0),0))</x:f>
      </x:c>
      <x:c r="H80" s="16" t="str">
        <x:f>IF(A80="","",IF(G80=1,IF(COUNTIFS($B$6:B80,B80,$F$6:F80,F80,$G$6:G80,1)=1,1,0),0))</x:f>
      </x:c>
      <x:c r="I80" s="16" t="str">
        <x:f>IF(A80="","",IF(AND(D80="反例",COUNTIF('问题归类'!$A$6:$A$35,B80)=1,COUNTIF('评论证据'!$AA$6:$AA$205,C80)&gt;0,COUNTIFS($B$6:B80,B80,$C$6:C80,C80,$D$6:D80,"反例")=1),1,0))</x:f>
      </x:c>
      <x:c r="J80" s="16" t="str">
        <x:f>IF(A80="","",IF(COUNTIF('问题归类'!$A$6:$A$35,B80)&lt;&gt;1,"问题编号缺失或重复",IF(COUNTIF('评论证据'!$D$6:$D$205,C80)=0,"评论编号缺失",IF(COUNTIFS($B$6:B80,B80,$C$6:C80,C80,$D$6:D80,D80)&gt;1,"重复关联不重复计数",""))))</x:f>
      </x:c>
    </x:row>
    <x:row r="81" ht="36" customHeight="1">
      <x:c r="A81" s="11"/>
      <x:c r="B81" s="11"/>
      <x:c r="C81" s="11"/>
      <x:c r="D81" s="11"/>
      <x:c r="E81" s="11"/>
      <x:c r="F81" s="16" t="str">
        <x:f>IF(A81="","",IF(COUNTIF('评论证据'!$AA$6:$AA$205,C81)=0,"缺可定位研究评论",INDEX('评论证据'!$E$6:$E$205,MATCH(C81,'评论证据'!$AA$6:$AA$205,0))))</x:f>
      </x:c>
      <x:c r="G81" s="16" t="str">
        <x:f>IF(A81="","",IF(AND(B81&lt;&gt;"",C81&lt;&gt;"",D81="支持",COUNTIF('问题归类'!$A$6:$A$35,B81)=1,COUNTIFS('评论证据'!$D$6:$D$205,C81,'评论证据'!$T$6:$T$205,1,'评论证据'!$C$6:$C$205,"研究")&gt;0,COUNTIFS($B$6:B81,B81,$C$6:C81,C81,$D$6:D81,"支持")=1),IF(INDEX('问题归类'!$G$6:$G$35,MATCH(B81,'问题归类'!$A$6:$A$35,0))="有效",1,0),0))</x:f>
      </x:c>
      <x:c r="H81" s="16" t="str">
        <x:f>IF(A81="","",IF(G81=1,IF(COUNTIFS($B$6:B81,B81,$F$6:F81,F81,$G$6:G81,1)=1,1,0),0))</x:f>
      </x:c>
      <x:c r="I81" s="16" t="str">
        <x:f>IF(A81="","",IF(AND(D81="反例",COUNTIF('问题归类'!$A$6:$A$35,B81)=1,COUNTIF('评论证据'!$AA$6:$AA$205,C81)&gt;0,COUNTIFS($B$6:B81,B81,$C$6:C81,C81,$D$6:D81,"反例")=1),1,0))</x:f>
      </x:c>
      <x:c r="J81" s="16" t="str">
        <x:f>IF(A81="","",IF(COUNTIF('问题归类'!$A$6:$A$35,B81)&lt;&gt;1,"问题编号缺失或重复",IF(COUNTIF('评论证据'!$D$6:$D$205,C81)=0,"评论编号缺失",IF(COUNTIFS($B$6:B81,B81,$C$6:C81,C81,$D$6:D81,D81)&gt;1,"重复关联不重复计数",""))))</x:f>
      </x:c>
    </x:row>
    <x:row r="82" ht="36" customHeight="1">
      <x:c r="A82" s="11"/>
      <x:c r="B82" s="11"/>
      <x:c r="C82" s="11"/>
      <x:c r="D82" s="11"/>
      <x:c r="E82" s="11"/>
      <x:c r="F82" s="16" t="str">
        <x:f>IF(A82="","",IF(COUNTIF('评论证据'!$AA$6:$AA$205,C82)=0,"缺可定位研究评论",INDEX('评论证据'!$E$6:$E$205,MATCH(C82,'评论证据'!$AA$6:$AA$205,0))))</x:f>
      </x:c>
      <x:c r="G82" s="16" t="str">
        <x:f>IF(A82="","",IF(AND(B82&lt;&gt;"",C82&lt;&gt;"",D82="支持",COUNTIF('问题归类'!$A$6:$A$35,B82)=1,COUNTIFS('评论证据'!$D$6:$D$205,C82,'评论证据'!$T$6:$T$205,1,'评论证据'!$C$6:$C$205,"研究")&gt;0,COUNTIFS($B$6:B82,B82,$C$6:C82,C82,$D$6:D82,"支持")=1),IF(INDEX('问题归类'!$G$6:$G$35,MATCH(B82,'问题归类'!$A$6:$A$35,0))="有效",1,0),0))</x:f>
      </x:c>
      <x:c r="H82" s="16" t="str">
        <x:f>IF(A82="","",IF(G82=1,IF(COUNTIFS($B$6:B82,B82,$F$6:F82,F82,$G$6:G82,1)=1,1,0),0))</x:f>
      </x:c>
      <x:c r="I82" s="16" t="str">
        <x:f>IF(A82="","",IF(AND(D82="反例",COUNTIF('问题归类'!$A$6:$A$35,B82)=1,COUNTIF('评论证据'!$AA$6:$AA$205,C82)&gt;0,COUNTIFS($B$6:B82,B82,$C$6:C82,C82,$D$6:D82,"反例")=1),1,0))</x:f>
      </x:c>
      <x:c r="J82" s="16" t="str">
        <x:f>IF(A82="","",IF(COUNTIF('问题归类'!$A$6:$A$35,B82)&lt;&gt;1,"问题编号缺失或重复",IF(COUNTIF('评论证据'!$D$6:$D$205,C82)=0,"评论编号缺失",IF(COUNTIFS($B$6:B82,B82,$C$6:C82,C82,$D$6:D82,D82)&gt;1,"重复关联不重复计数",""))))</x:f>
      </x:c>
    </x:row>
    <x:row r="83" ht="36" customHeight="1">
      <x:c r="A83" s="11"/>
      <x:c r="B83" s="11"/>
      <x:c r="C83" s="11"/>
      <x:c r="D83" s="11"/>
      <x:c r="E83" s="11"/>
      <x:c r="F83" s="16" t="str">
        <x:f>IF(A83="","",IF(COUNTIF('评论证据'!$AA$6:$AA$205,C83)=0,"缺可定位研究评论",INDEX('评论证据'!$E$6:$E$205,MATCH(C83,'评论证据'!$AA$6:$AA$205,0))))</x:f>
      </x:c>
      <x:c r="G83" s="16" t="str">
        <x:f>IF(A83="","",IF(AND(B83&lt;&gt;"",C83&lt;&gt;"",D83="支持",COUNTIF('问题归类'!$A$6:$A$35,B83)=1,COUNTIFS('评论证据'!$D$6:$D$205,C83,'评论证据'!$T$6:$T$205,1,'评论证据'!$C$6:$C$205,"研究")&gt;0,COUNTIFS($B$6:B83,B83,$C$6:C83,C83,$D$6:D83,"支持")=1),IF(INDEX('问题归类'!$G$6:$G$35,MATCH(B83,'问题归类'!$A$6:$A$35,0))="有效",1,0),0))</x:f>
      </x:c>
      <x:c r="H83" s="16" t="str">
        <x:f>IF(A83="","",IF(G83=1,IF(COUNTIFS($B$6:B83,B83,$F$6:F83,F83,$G$6:G83,1)=1,1,0),0))</x:f>
      </x:c>
      <x:c r="I83" s="16" t="str">
        <x:f>IF(A83="","",IF(AND(D83="反例",COUNTIF('问题归类'!$A$6:$A$35,B83)=1,COUNTIF('评论证据'!$AA$6:$AA$205,C83)&gt;0,COUNTIFS($B$6:B83,B83,$C$6:C83,C83,$D$6:D83,"反例")=1),1,0))</x:f>
      </x:c>
      <x:c r="J83" s="16" t="str">
        <x:f>IF(A83="","",IF(COUNTIF('问题归类'!$A$6:$A$35,B83)&lt;&gt;1,"问题编号缺失或重复",IF(COUNTIF('评论证据'!$D$6:$D$205,C83)=0,"评论编号缺失",IF(COUNTIFS($B$6:B83,B83,$C$6:C83,C83,$D$6:D83,D83)&gt;1,"重复关联不重复计数",""))))</x:f>
      </x:c>
    </x:row>
    <x:row r="84" ht="36" customHeight="1">
      <x:c r="A84" s="11"/>
      <x:c r="B84" s="11"/>
      <x:c r="C84" s="11"/>
      <x:c r="D84" s="11"/>
      <x:c r="E84" s="11"/>
      <x:c r="F84" s="16" t="str">
        <x:f>IF(A84="","",IF(COUNTIF('评论证据'!$AA$6:$AA$205,C84)=0,"缺可定位研究评论",INDEX('评论证据'!$E$6:$E$205,MATCH(C84,'评论证据'!$AA$6:$AA$205,0))))</x:f>
      </x:c>
      <x:c r="G84" s="16" t="str">
        <x:f>IF(A84="","",IF(AND(B84&lt;&gt;"",C84&lt;&gt;"",D84="支持",COUNTIF('问题归类'!$A$6:$A$35,B84)=1,COUNTIFS('评论证据'!$D$6:$D$205,C84,'评论证据'!$T$6:$T$205,1,'评论证据'!$C$6:$C$205,"研究")&gt;0,COUNTIFS($B$6:B84,B84,$C$6:C84,C84,$D$6:D84,"支持")=1),IF(INDEX('问题归类'!$G$6:$G$35,MATCH(B84,'问题归类'!$A$6:$A$35,0))="有效",1,0),0))</x:f>
      </x:c>
      <x:c r="H84" s="16" t="str">
        <x:f>IF(A84="","",IF(G84=1,IF(COUNTIFS($B$6:B84,B84,$F$6:F84,F84,$G$6:G84,1)=1,1,0),0))</x:f>
      </x:c>
      <x:c r="I84" s="16" t="str">
        <x:f>IF(A84="","",IF(AND(D84="反例",COUNTIF('问题归类'!$A$6:$A$35,B84)=1,COUNTIF('评论证据'!$AA$6:$AA$205,C84)&gt;0,COUNTIFS($B$6:B84,B84,$C$6:C84,C84,$D$6:D84,"反例")=1),1,0))</x:f>
      </x:c>
      <x:c r="J84" s="16" t="str">
        <x:f>IF(A84="","",IF(COUNTIF('问题归类'!$A$6:$A$35,B84)&lt;&gt;1,"问题编号缺失或重复",IF(COUNTIF('评论证据'!$D$6:$D$205,C84)=0,"评论编号缺失",IF(COUNTIFS($B$6:B84,B84,$C$6:C84,C84,$D$6:D84,D84)&gt;1,"重复关联不重复计数",""))))</x:f>
      </x:c>
    </x:row>
    <x:row r="85" ht="36" customHeight="1">
      <x:c r="A85" s="11"/>
      <x:c r="B85" s="11"/>
      <x:c r="C85" s="11"/>
      <x:c r="D85" s="11"/>
      <x:c r="E85" s="11"/>
      <x:c r="F85" s="16" t="str">
        <x:f>IF(A85="","",IF(COUNTIF('评论证据'!$AA$6:$AA$205,C85)=0,"缺可定位研究评论",INDEX('评论证据'!$E$6:$E$205,MATCH(C85,'评论证据'!$AA$6:$AA$205,0))))</x:f>
      </x:c>
      <x:c r="G85" s="16" t="str">
        <x:f>IF(A85="","",IF(AND(B85&lt;&gt;"",C85&lt;&gt;"",D85="支持",COUNTIF('问题归类'!$A$6:$A$35,B85)=1,COUNTIFS('评论证据'!$D$6:$D$205,C85,'评论证据'!$T$6:$T$205,1,'评论证据'!$C$6:$C$205,"研究")&gt;0,COUNTIFS($B$6:B85,B85,$C$6:C85,C85,$D$6:D85,"支持")=1),IF(INDEX('问题归类'!$G$6:$G$35,MATCH(B85,'问题归类'!$A$6:$A$35,0))="有效",1,0),0))</x:f>
      </x:c>
      <x:c r="H85" s="16" t="str">
        <x:f>IF(A85="","",IF(G85=1,IF(COUNTIFS($B$6:B85,B85,$F$6:F85,F85,$G$6:G85,1)=1,1,0),0))</x:f>
      </x:c>
      <x:c r="I85" s="16" t="str">
        <x:f>IF(A85="","",IF(AND(D85="反例",COUNTIF('问题归类'!$A$6:$A$35,B85)=1,COUNTIF('评论证据'!$AA$6:$AA$205,C85)&gt;0,COUNTIFS($B$6:B85,B85,$C$6:C85,C85,$D$6:D85,"反例")=1),1,0))</x:f>
      </x:c>
      <x:c r="J85" s="16" t="str">
        <x:f>IF(A85="","",IF(COUNTIF('问题归类'!$A$6:$A$35,B85)&lt;&gt;1,"问题编号缺失或重复",IF(COUNTIF('评论证据'!$D$6:$D$205,C85)=0,"评论编号缺失",IF(COUNTIFS($B$6:B85,B85,$C$6:C85,C85,$D$6:D85,D85)&gt;1,"重复关联不重复计数",""))))</x:f>
      </x:c>
    </x:row>
    <x:row r="86" ht="36" customHeight="1">
      <x:c r="A86" s="11"/>
      <x:c r="B86" s="11"/>
      <x:c r="C86" s="11"/>
      <x:c r="D86" s="11"/>
      <x:c r="E86" s="11"/>
      <x:c r="F86" s="16" t="str">
        <x:f>IF(A86="","",IF(COUNTIF('评论证据'!$AA$6:$AA$205,C86)=0,"缺可定位研究评论",INDEX('评论证据'!$E$6:$E$205,MATCH(C86,'评论证据'!$AA$6:$AA$205,0))))</x:f>
      </x:c>
      <x:c r="G86" s="16" t="str">
        <x:f>IF(A86="","",IF(AND(B86&lt;&gt;"",C86&lt;&gt;"",D86="支持",COUNTIF('问题归类'!$A$6:$A$35,B86)=1,COUNTIFS('评论证据'!$D$6:$D$205,C86,'评论证据'!$T$6:$T$205,1,'评论证据'!$C$6:$C$205,"研究")&gt;0,COUNTIFS($B$6:B86,B86,$C$6:C86,C86,$D$6:D86,"支持")=1),IF(INDEX('问题归类'!$G$6:$G$35,MATCH(B86,'问题归类'!$A$6:$A$35,0))="有效",1,0),0))</x:f>
      </x:c>
      <x:c r="H86" s="16" t="str">
        <x:f>IF(A86="","",IF(G86=1,IF(COUNTIFS($B$6:B86,B86,$F$6:F86,F86,$G$6:G86,1)=1,1,0),0))</x:f>
      </x:c>
      <x:c r="I86" s="16" t="str">
        <x:f>IF(A86="","",IF(AND(D86="反例",COUNTIF('问题归类'!$A$6:$A$35,B86)=1,COUNTIF('评论证据'!$AA$6:$AA$205,C86)&gt;0,COUNTIFS($B$6:B86,B86,$C$6:C86,C86,$D$6:D86,"反例")=1),1,0))</x:f>
      </x:c>
      <x:c r="J86" s="16" t="str">
        <x:f>IF(A86="","",IF(COUNTIF('问题归类'!$A$6:$A$35,B86)&lt;&gt;1,"问题编号缺失或重复",IF(COUNTIF('评论证据'!$D$6:$D$205,C86)=0,"评论编号缺失",IF(COUNTIFS($B$6:B86,B86,$C$6:C86,C86,$D$6:D86,D86)&gt;1,"重复关联不重复计数",""))))</x:f>
      </x:c>
    </x:row>
    <x:row r="87" ht="36" customHeight="1">
      <x:c r="A87" s="11"/>
      <x:c r="B87" s="11"/>
      <x:c r="C87" s="11"/>
      <x:c r="D87" s="11"/>
      <x:c r="E87" s="11"/>
      <x:c r="F87" s="16" t="str">
        <x:f>IF(A87="","",IF(COUNTIF('评论证据'!$AA$6:$AA$205,C87)=0,"缺可定位研究评论",INDEX('评论证据'!$E$6:$E$205,MATCH(C87,'评论证据'!$AA$6:$AA$205,0))))</x:f>
      </x:c>
      <x:c r="G87" s="16" t="str">
        <x:f>IF(A87="","",IF(AND(B87&lt;&gt;"",C87&lt;&gt;"",D87="支持",COUNTIF('问题归类'!$A$6:$A$35,B87)=1,COUNTIFS('评论证据'!$D$6:$D$205,C87,'评论证据'!$T$6:$T$205,1,'评论证据'!$C$6:$C$205,"研究")&gt;0,COUNTIFS($B$6:B87,B87,$C$6:C87,C87,$D$6:D87,"支持")=1),IF(INDEX('问题归类'!$G$6:$G$35,MATCH(B87,'问题归类'!$A$6:$A$35,0))="有效",1,0),0))</x:f>
      </x:c>
      <x:c r="H87" s="16" t="str">
        <x:f>IF(A87="","",IF(G87=1,IF(COUNTIFS($B$6:B87,B87,$F$6:F87,F87,$G$6:G87,1)=1,1,0),0))</x:f>
      </x:c>
      <x:c r="I87" s="16" t="str">
        <x:f>IF(A87="","",IF(AND(D87="反例",COUNTIF('问题归类'!$A$6:$A$35,B87)=1,COUNTIF('评论证据'!$AA$6:$AA$205,C87)&gt;0,COUNTIFS($B$6:B87,B87,$C$6:C87,C87,$D$6:D87,"反例")=1),1,0))</x:f>
      </x:c>
      <x:c r="J87" s="16" t="str">
        <x:f>IF(A87="","",IF(COUNTIF('问题归类'!$A$6:$A$35,B87)&lt;&gt;1,"问题编号缺失或重复",IF(COUNTIF('评论证据'!$D$6:$D$205,C87)=0,"评论编号缺失",IF(COUNTIFS($B$6:B87,B87,$C$6:C87,C87,$D$6:D87,D87)&gt;1,"重复关联不重复计数",""))))</x:f>
      </x:c>
    </x:row>
    <x:row r="88" ht="36" customHeight="1">
      <x:c r="A88" s="11"/>
      <x:c r="B88" s="11"/>
      <x:c r="C88" s="11"/>
      <x:c r="D88" s="11"/>
      <x:c r="E88" s="11"/>
      <x:c r="F88" s="16" t="str">
        <x:f>IF(A88="","",IF(COUNTIF('评论证据'!$AA$6:$AA$205,C88)=0,"缺可定位研究评论",INDEX('评论证据'!$E$6:$E$205,MATCH(C88,'评论证据'!$AA$6:$AA$205,0))))</x:f>
      </x:c>
      <x:c r="G88" s="16" t="str">
        <x:f>IF(A88="","",IF(AND(B88&lt;&gt;"",C88&lt;&gt;"",D88="支持",COUNTIF('问题归类'!$A$6:$A$35,B88)=1,COUNTIFS('评论证据'!$D$6:$D$205,C88,'评论证据'!$T$6:$T$205,1,'评论证据'!$C$6:$C$205,"研究")&gt;0,COUNTIFS($B$6:B88,B88,$C$6:C88,C88,$D$6:D88,"支持")=1),IF(INDEX('问题归类'!$G$6:$G$35,MATCH(B88,'问题归类'!$A$6:$A$35,0))="有效",1,0),0))</x:f>
      </x:c>
      <x:c r="H88" s="16" t="str">
        <x:f>IF(A88="","",IF(G88=1,IF(COUNTIFS($B$6:B88,B88,$F$6:F88,F88,$G$6:G88,1)=1,1,0),0))</x:f>
      </x:c>
      <x:c r="I88" s="16" t="str">
        <x:f>IF(A88="","",IF(AND(D88="反例",COUNTIF('问题归类'!$A$6:$A$35,B88)=1,COUNTIF('评论证据'!$AA$6:$AA$205,C88)&gt;0,COUNTIFS($B$6:B88,B88,$C$6:C88,C88,$D$6:D88,"反例")=1),1,0))</x:f>
      </x:c>
      <x:c r="J88" s="16" t="str">
        <x:f>IF(A88="","",IF(COUNTIF('问题归类'!$A$6:$A$35,B88)&lt;&gt;1,"问题编号缺失或重复",IF(COUNTIF('评论证据'!$D$6:$D$205,C88)=0,"评论编号缺失",IF(COUNTIFS($B$6:B88,B88,$C$6:C88,C88,$D$6:D88,D88)&gt;1,"重复关联不重复计数",""))))</x:f>
      </x:c>
    </x:row>
    <x:row r="89" ht="36" customHeight="1">
      <x:c r="A89" s="11"/>
      <x:c r="B89" s="11"/>
      <x:c r="C89" s="11"/>
      <x:c r="D89" s="11"/>
      <x:c r="E89" s="11"/>
      <x:c r="F89" s="16" t="str">
        <x:f>IF(A89="","",IF(COUNTIF('评论证据'!$AA$6:$AA$205,C89)=0,"缺可定位研究评论",INDEX('评论证据'!$E$6:$E$205,MATCH(C89,'评论证据'!$AA$6:$AA$205,0))))</x:f>
      </x:c>
      <x:c r="G89" s="16" t="str">
        <x:f>IF(A89="","",IF(AND(B89&lt;&gt;"",C89&lt;&gt;"",D89="支持",COUNTIF('问题归类'!$A$6:$A$35,B89)=1,COUNTIFS('评论证据'!$D$6:$D$205,C89,'评论证据'!$T$6:$T$205,1,'评论证据'!$C$6:$C$205,"研究")&gt;0,COUNTIFS($B$6:B89,B89,$C$6:C89,C89,$D$6:D89,"支持")=1),IF(INDEX('问题归类'!$G$6:$G$35,MATCH(B89,'问题归类'!$A$6:$A$35,0))="有效",1,0),0))</x:f>
      </x:c>
      <x:c r="H89" s="16" t="str">
        <x:f>IF(A89="","",IF(G89=1,IF(COUNTIFS($B$6:B89,B89,$F$6:F89,F89,$G$6:G89,1)=1,1,0),0))</x:f>
      </x:c>
      <x:c r="I89" s="16" t="str">
        <x:f>IF(A89="","",IF(AND(D89="反例",COUNTIF('问题归类'!$A$6:$A$35,B89)=1,COUNTIF('评论证据'!$AA$6:$AA$205,C89)&gt;0,COUNTIFS($B$6:B89,B89,$C$6:C89,C89,$D$6:D89,"反例")=1),1,0))</x:f>
      </x:c>
      <x:c r="J89" s="16" t="str">
        <x:f>IF(A89="","",IF(COUNTIF('问题归类'!$A$6:$A$35,B89)&lt;&gt;1,"问题编号缺失或重复",IF(COUNTIF('评论证据'!$D$6:$D$205,C89)=0,"评论编号缺失",IF(COUNTIFS($B$6:B89,B89,$C$6:C89,C89,$D$6:D89,D89)&gt;1,"重复关联不重复计数",""))))</x:f>
      </x:c>
    </x:row>
    <x:row r="90" ht="36" customHeight="1">
      <x:c r="A90" s="11"/>
      <x:c r="B90" s="11"/>
      <x:c r="C90" s="11"/>
      <x:c r="D90" s="11"/>
      <x:c r="E90" s="11"/>
      <x:c r="F90" s="16" t="str">
        <x:f>IF(A90="","",IF(COUNTIF('评论证据'!$AA$6:$AA$205,C90)=0,"缺可定位研究评论",INDEX('评论证据'!$E$6:$E$205,MATCH(C90,'评论证据'!$AA$6:$AA$205,0))))</x:f>
      </x:c>
      <x:c r="G90" s="16" t="str">
        <x:f>IF(A90="","",IF(AND(B90&lt;&gt;"",C90&lt;&gt;"",D90="支持",COUNTIF('问题归类'!$A$6:$A$35,B90)=1,COUNTIFS('评论证据'!$D$6:$D$205,C90,'评论证据'!$T$6:$T$205,1,'评论证据'!$C$6:$C$205,"研究")&gt;0,COUNTIFS($B$6:B90,B90,$C$6:C90,C90,$D$6:D90,"支持")=1),IF(INDEX('问题归类'!$G$6:$G$35,MATCH(B90,'问题归类'!$A$6:$A$35,0))="有效",1,0),0))</x:f>
      </x:c>
      <x:c r="H90" s="16" t="str">
        <x:f>IF(A90="","",IF(G90=1,IF(COUNTIFS($B$6:B90,B90,$F$6:F90,F90,$G$6:G90,1)=1,1,0),0))</x:f>
      </x:c>
      <x:c r="I90" s="16" t="str">
        <x:f>IF(A90="","",IF(AND(D90="反例",COUNTIF('问题归类'!$A$6:$A$35,B90)=1,COUNTIF('评论证据'!$AA$6:$AA$205,C90)&gt;0,COUNTIFS($B$6:B90,B90,$C$6:C90,C90,$D$6:D90,"反例")=1),1,0))</x:f>
      </x:c>
      <x:c r="J90" s="16" t="str">
        <x:f>IF(A90="","",IF(COUNTIF('问题归类'!$A$6:$A$35,B90)&lt;&gt;1,"问题编号缺失或重复",IF(COUNTIF('评论证据'!$D$6:$D$205,C90)=0,"评论编号缺失",IF(COUNTIFS($B$6:B90,B90,$C$6:C90,C90,$D$6:D90,D90)&gt;1,"重复关联不重复计数",""))))</x:f>
      </x:c>
    </x:row>
    <x:row r="91" ht="36" customHeight="1">
      <x:c r="A91" s="11"/>
      <x:c r="B91" s="11"/>
      <x:c r="C91" s="11"/>
      <x:c r="D91" s="11"/>
      <x:c r="E91" s="11"/>
      <x:c r="F91" s="16" t="str">
        <x:f>IF(A91="","",IF(COUNTIF('评论证据'!$AA$6:$AA$205,C91)=0,"缺可定位研究评论",INDEX('评论证据'!$E$6:$E$205,MATCH(C91,'评论证据'!$AA$6:$AA$205,0))))</x:f>
      </x:c>
      <x:c r="G91" s="16" t="str">
        <x:f>IF(A91="","",IF(AND(B91&lt;&gt;"",C91&lt;&gt;"",D91="支持",COUNTIF('问题归类'!$A$6:$A$35,B91)=1,COUNTIFS('评论证据'!$D$6:$D$205,C91,'评论证据'!$T$6:$T$205,1,'评论证据'!$C$6:$C$205,"研究")&gt;0,COUNTIFS($B$6:B91,B91,$C$6:C91,C91,$D$6:D91,"支持")=1),IF(INDEX('问题归类'!$G$6:$G$35,MATCH(B91,'问题归类'!$A$6:$A$35,0))="有效",1,0),0))</x:f>
      </x:c>
      <x:c r="H91" s="16" t="str">
        <x:f>IF(A91="","",IF(G91=1,IF(COUNTIFS($B$6:B91,B91,$F$6:F91,F91,$G$6:G91,1)=1,1,0),0))</x:f>
      </x:c>
      <x:c r="I91" s="16" t="str">
        <x:f>IF(A91="","",IF(AND(D91="反例",COUNTIF('问题归类'!$A$6:$A$35,B91)=1,COUNTIF('评论证据'!$AA$6:$AA$205,C91)&gt;0,COUNTIFS($B$6:B91,B91,$C$6:C91,C91,$D$6:D91,"反例")=1),1,0))</x:f>
      </x:c>
      <x:c r="J91" s="16" t="str">
        <x:f>IF(A91="","",IF(COUNTIF('问题归类'!$A$6:$A$35,B91)&lt;&gt;1,"问题编号缺失或重复",IF(COUNTIF('评论证据'!$D$6:$D$205,C91)=0,"评论编号缺失",IF(COUNTIFS($B$6:B91,B91,$C$6:C91,C91,$D$6:D91,D91)&gt;1,"重复关联不重复计数",""))))</x:f>
      </x:c>
    </x:row>
    <x:row r="92" ht="36" customHeight="1">
      <x:c r="A92" s="11"/>
      <x:c r="B92" s="11"/>
      <x:c r="C92" s="11"/>
      <x:c r="D92" s="11"/>
      <x:c r="E92" s="11"/>
      <x:c r="F92" s="16" t="str">
        <x:f>IF(A92="","",IF(COUNTIF('评论证据'!$AA$6:$AA$205,C92)=0,"缺可定位研究评论",INDEX('评论证据'!$E$6:$E$205,MATCH(C92,'评论证据'!$AA$6:$AA$205,0))))</x:f>
      </x:c>
      <x:c r="G92" s="16" t="str">
        <x:f>IF(A92="","",IF(AND(B92&lt;&gt;"",C92&lt;&gt;"",D92="支持",COUNTIF('问题归类'!$A$6:$A$35,B92)=1,COUNTIFS('评论证据'!$D$6:$D$205,C92,'评论证据'!$T$6:$T$205,1,'评论证据'!$C$6:$C$205,"研究")&gt;0,COUNTIFS($B$6:B92,B92,$C$6:C92,C92,$D$6:D92,"支持")=1),IF(INDEX('问题归类'!$G$6:$G$35,MATCH(B92,'问题归类'!$A$6:$A$35,0))="有效",1,0),0))</x:f>
      </x:c>
      <x:c r="H92" s="16" t="str">
        <x:f>IF(A92="","",IF(G92=1,IF(COUNTIFS($B$6:B92,B92,$F$6:F92,F92,$G$6:G92,1)=1,1,0),0))</x:f>
      </x:c>
      <x:c r="I92" s="16" t="str">
        <x:f>IF(A92="","",IF(AND(D92="反例",COUNTIF('问题归类'!$A$6:$A$35,B92)=1,COUNTIF('评论证据'!$AA$6:$AA$205,C92)&gt;0,COUNTIFS($B$6:B92,B92,$C$6:C92,C92,$D$6:D92,"反例")=1),1,0))</x:f>
      </x:c>
      <x:c r="J92" s="16" t="str">
        <x:f>IF(A92="","",IF(COUNTIF('问题归类'!$A$6:$A$35,B92)&lt;&gt;1,"问题编号缺失或重复",IF(COUNTIF('评论证据'!$D$6:$D$205,C92)=0,"评论编号缺失",IF(COUNTIFS($B$6:B92,B92,$C$6:C92,C92,$D$6:D92,D92)&gt;1,"重复关联不重复计数",""))))</x:f>
      </x:c>
    </x:row>
    <x:row r="93" ht="36" customHeight="1">
      <x:c r="A93" s="11"/>
      <x:c r="B93" s="11"/>
      <x:c r="C93" s="11"/>
      <x:c r="D93" s="11"/>
      <x:c r="E93" s="11"/>
      <x:c r="F93" s="16" t="str">
        <x:f>IF(A93="","",IF(COUNTIF('评论证据'!$AA$6:$AA$205,C93)=0,"缺可定位研究评论",INDEX('评论证据'!$E$6:$E$205,MATCH(C93,'评论证据'!$AA$6:$AA$205,0))))</x:f>
      </x:c>
      <x:c r="G93" s="16" t="str">
        <x:f>IF(A93="","",IF(AND(B93&lt;&gt;"",C93&lt;&gt;"",D93="支持",COUNTIF('问题归类'!$A$6:$A$35,B93)=1,COUNTIFS('评论证据'!$D$6:$D$205,C93,'评论证据'!$T$6:$T$205,1,'评论证据'!$C$6:$C$205,"研究")&gt;0,COUNTIFS($B$6:B93,B93,$C$6:C93,C93,$D$6:D93,"支持")=1),IF(INDEX('问题归类'!$G$6:$G$35,MATCH(B93,'问题归类'!$A$6:$A$35,0))="有效",1,0),0))</x:f>
      </x:c>
      <x:c r="H93" s="16" t="str">
        <x:f>IF(A93="","",IF(G93=1,IF(COUNTIFS($B$6:B93,B93,$F$6:F93,F93,$G$6:G93,1)=1,1,0),0))</x:f>
      </x:c>
      <x:c r="I93" s="16" t="str">
        <x:f>IF(A93="","",IF(AND(D93="反例",COUNTIF('问题归类'!$A$6:$A$35,B93)=1,COUNTIF('评论证据'!$AA$6:$AA$205,C93)&gt;0,COUNTIFS($B$6:B93,B93,$C$6:C93,C93,$D$6:D93,"反例")=1),1,0))</x:f>
      </x:c>
      <x:c r="J93" s="16" t="str">
        <x:f>IF(A93="","",IF(COUNTIF('问题归类'!$A$6:$A$35,B93)&lt;&gt;1,"问题编号缺失或重复",IF(COUNTIF('评论证据'!$D$6:$D$205,C93)=0,"评论编号缺失",IF(COUNTIFS($B$6:B93,B93,$C$6:C93,C93,$D$6:D93,D93)&gt;1,"重复关联不重复计数",""))))</x:f>
      </x:c>
    </x:row>
    <x:row r="94" ht="36" customHeight="1">
      <x:c r="A94" s="11"/>
      <x:c r="B94" s="11"/>
      <x:c r="C94" s="11"/>
      <x:c r="D94" s="11"/>
      <x:c r="E94" s="11"/>
      <x:c r="F94" s="16" t="str">
        <x:f>IF(A94="","",IF(COUNTIF('评论证据'!$AA$6:$AA$205,C94)=0,"缺可定位研究评论",INDEX('评论证据'!$E$6:$E$205,MATCH(C94,'评论证据'!$AA$6:$AA$205,0))))</x:f>
      </x:c>
      <x:c r="G94" s="16" t="str">
        <x:f>IF(A94="","",IF(AND(B94&lt;&gt;"",C94&lt;&gt;"",D94="支持",COUNTIF('问题归类'!$A$6:$A$35,B94)=1,COUNTIFS('评论证据'!$D$6:$D$205,C94,'评论证据'!$T$6:$T$205,1,'评论证据'!$C$6:$C$205,"研究")&gt;0,COUNTIFS($B$6:B94,B94,$C$6:C94,C94,$D$6:D94,"支持")=1),IF(INDEX('问题归类'!$G$6:$G$35,MATCH(B94,'问题归类'!$A$6:$A$35,0))="有效",1,0),0))</x:f>
      </x:c>
      <x:c r="H94" s="16" t="str">
        <x:f>IF(A94="","",IF(G94=1,IF(COUNTIFS($B$6:B94,B94,$F$6:F94,F94,$G$6:G94,1)=1,1,0),0))</x:f>
      </x:c>
      <x:c r="I94" s="16" t="str">
        <x:f>IF(A94="","",IF(AND(D94="反例",COUNTIF('问题归类'!$A$6:$A$35,B94)=1,COUNTIF('评论证据'!$AA$6:$AA$205,C94)&gt;0,COUNTIFS($B$6:B94,B94,$C$6:C94,C94,$D$6:D94,"反例")=1),1,0))</x:f>
      </x:c>
      <x:c r="J94" s="16" t="str">
        <x:f>IF(A94="","",IF(COUNTIF('问题归类'!$A$6:$A$35,B94)&lt;&gt;1,"问题编号缺失或重复",IF(COUNTIF('评论证据'!$D$6:$D$205,C94)=0,"评论编号缺失",IF(COUNTIFS($B$6:B94,B94,$C$6:C94,C94,$D$6:D94,D94)&gt;1,"重复关联不重复计数",""))))</x:f>
      </x:c>
    </x:row>
    <x:row r="95" ht="36" customHeight="1">
      <x:c r="A95" s="11"/>
      <x:c r="B95" s="11"/>
      <x:c r="C95" s="11"/>
      <x:c r="D95" s="11"/>
      <x:c r="E95" s="11"/>
      <x:c r="F95" s="16" t="str">
        <x:f>IF(A95="","",IF(COUNTIF('评论证据'!$AA$6:$AA$205,C95)=0,"缺可定位研究评论",INDEX('评论证据'!$E$6:$E$205,MATCH(C95,'评论证据'!$AA$6:$AA$205,0))))</x:f>
      </x:c>
      <x:c r="G95" s="16" t="str">
        <x:f>IF(A95="","",IF(AND(B95&lt;&gt;"",C95&lt;&gt;"",D95="支持",COUNTIF('问题归类'!$A$6:$A$35,B95)=1,COUNTIFS('评论证据'!$D$6:$D$205,C95,'评论证据'!$T$6:$T$205,1,'评论证据'!$C$6:$C$205,"研究")&gt;0,COUNTIFS($B$6:B95,B95,$C$6:C95,C95,$D$6:D95,"支持")=1),IF(INDEX('问题归类'!$G$6:$G$35,MATCH(B95,'问题归类'!$A$6:$A$35,0))="有效",1,0),0))</x:f>
      </x:c>
      <x:c r="H95" s="16" t="str">
        <x:f>IF(A95="","",IF(G95=1,IF(COUNTIFS($B$6:B95,B95,$F$6:F95,F95,$G$6:G95,1)=1,1,0),0))</x:f>
      </x:c>
      <x:c r="I95" s="16" t="str">
        <x:f>IF(A95="","",IF(AND(D95="反例",COUNTIF('问题归类'!$A$6:$A$35,B95)=1,COUNTIF('评论证据'!$AA$6:$AA$205,C95)&gt;0,COUNTIFS($B$6:B95,B95,$C$6:C95,C95,$D$6:D95,"反例")=1),1,0))</x:f>
      </x:c>
      <x:c r="J95" s="16" t="str">
        <x:f>IF(A95="","",IF(COUNTIF('问题归类'!$A$6:$A$35,B95)&lt;&gt;1,"问题编号缺失或重复",IF(COUNTIF('评论证据'!$D$6:$D$205,C95)=0,"评论编号缺失",IF(COUNTIFS($B$6:B95,B95,$C$6:C95,C95,$D$6:D95,D95)&gt;1,"重复关联不重复计数",""))))</x:f>
      </x:c>
    </x:row>
    <x:row r="96" ht="36" customHeight="1">
      <x:c r="A96" s="11"/>
      <x:c r="B96" s="11"/>
      <x:c r="C96" s="11"/>
      <x:c r="D96" s="11"/>
      <x:c r="E96" s="11"/>
      <x:c r="F96" s="16" t="str">
        <x:f>IF(A96="","",IF(COUNTIF('评论证据'!$AA$6:$AA$205,C96)=0,"缺可定位研究评论",INDEX('评论证据'!$E$6:$E$205,MATCH(C96,'评论证据'!$AA$6:$AA$205,0))))</x:f>
      </x:c>
      <x:c r="G96" s="16" t="str">
        <x:f>IF(A96="","",IF(AND(B96&lt;&gt;"",C96&lt;&gt;"",D96="支持",COUNTIF('问题归类'!$A$6:$A$35,B96)=1,COUNTIFS('评论证据'!$D$6:$D$205,C96,'评论证据'!$T$6:$T$205,1,'评论证据'!$C$6:$C$205,"研究")&gt;0,COUNTIFS($B$6:B96,B96,$C$6:C96,C96,$D$6:D96,"支持")=1),IF(INDEX('问题归类'!$G$6:$G$35,MATCH(B96,'问题归类'!$A$6:$A$35,0))="有效",1,0),0))</x:f>
      </x:c>
      <x:c r="H96" s="16" t="str">
        <x:f>IF(A96="","",IF(G96=1,IF(COUNTIFS($B$6:B96,B96,$F$6:F96,F96,$G$6:G96,1)=1,1,0),0))</x:f>
      </x:c>
      <x:c r="I96" s="16" t="str">
        <x:f>IF(A96="","",IF(AND(D96="反例",COUNTIF('问题归类'!$A$6:$A$35,B96)=1,COUNTIF('评论证据'!$AA$6:$AA$205,C96)&gt;0,COUNTIFS($B$6:B96,B96,$C$6:C96,C96,$D$6:D96,"反例")=1),1,0))</x:f>
      </x:c>
      <x:c r="J96" s="16" t="str">
        <x:f>IF(A96="","",IF(COUNTIF('问题归类'!$A$6:$A$35,B96)&lt;&gt;1,"问题编号缺失或重复",IF(COUNTIF('评论证据'!$D$6:$D$205,C96)=0,"评论编号缺失",IF(COUNTIFS($B$6:B96,B96,$C$6:C96,C96,$D$6:D96,D96)&gt;1,"重复关联不重复计数",""))))</x:f>
      </x:c>
    </x:row>
    <x:row r="97" ht="36" customHeight="1">
      <x:c r="A97" s="11"/>
      <x:c r="B97" s="11"/>
      <x:c r="C97" s="11"/>
      <x:c r="D97" s="11"/>
      <x:c r="E97" s="11"/>
      <x:c r="F97" s="16" t="str">
        <x:f>IF(A97="","",IF(COUNTIF('评论证据'!$AA$6:$AA$205,C97)=0,"缺可定位研究评论",INDEX('评论证据'!$E$6:$E$205,MATCH(C97,'评论证据'!$AA$6:$AA$205,0))))</x:f>
      </x:c>
      <x:c r="G97" s="16" t="str">
        <x:f>IF(A97="","",IF(AND(B97&lt;&gt;"",C97&lt;&gt;"",D97="支持",COUNTIF('问题归类'!$A$6:$A$35,B97)=1,COUNTIFS('评论证据'!$D$6:$D$205,C97,'评论证据'!$T$6:$T$205,1,'评论证据'!$C$6:$C$205,"研究")&gt;0,COUNTIFS($B$6:B97,B97,$C$6:C97,C97,$D$6:D97,"支持")=1),IF(INDEX('问题归类'!$G$6:$G$35,MATCH(B97,'问题归类'!$A$6:$A$35,0))="有效",1,0),0))</x:f>
      </x:c>
      <x:c r="H97" s="16" t="str">
        <x:f>IF(A97="","",IF(G97=1,IF(COUNTIFS($B$6:B97,B97,$F$6:F97,F97,$G$6:G97,1)=1,1,0),0))</x:f>
      </x:c>
      <x:c r="I97" s="16" t="str">
        <x:f>IF(A97="","",IF(AND(D97="反例",COUNTIF('问题归类'!$A$6:$A$35,B97)=1,COUNTIF('评论证据'!$AA$6:$AA$205,C97)&gt;0,COUNTIFS($B$6:B97,B97,$C$6:C97,C97,$D$6:D97,"反例")=1),1,0))</x:f>
      </x:c>
      <x:c r="J97" s="16" t="str">
        <x:f>IF(A97="","",IF(COUNTIF('问题归类'!$A$6:$A$35,B97)&lt;&gt;1,"问题编号缺失或重复",IF(COUNTIF('评论证据'!$D$6:$D$205,C97)=0,"评论编号缺失",IF(COUNTIFS($B$6:B97,B97,$C$6:C97,C97,$D$6:D97,D97)&gt;1,"重复关联不重复计数",""))))</x:f>
      </x:c>
    </x:row>
    <x:row r="98" ht="36" customHeight="1">
      <x:c r="A98" s="11"/>
      <x:c r="B98" s="11"/>
      <x:c r="C98" s="11"/>
      <x:c r="D98" s="11"/>
      <x:c r="E98" s="11"/>
      <x:c r="F98" s="16" t="str">
        <x:f>IF(A98="","",IF(COUNTIF('评论证据'!$AA$6:$AA$205,C98)=0,"缺可定位研究评论",INDEX('评论证据'!$E$6:$E$205,MATCH(C98,'评论证据'!$AA$6:$AA$205,0))))</x:f>
      </x:c>
      <x:c r="G98" s="16" t="str">
        <x:f>IF(A98="","",IF(AND(B98&lt;&gt;"",C98&lt;&gt;"",D98="支持",COUNTIF('问题归类'!$A$6:$A$35,B98)=1,COUNTIFS('评论证据'!$D$6:$D$205,C98,'评论证据'!$T$6:$T$205,1,'评论证据'!$C$6:$C$205,"研究")&gt;0,COUNTIFS($B$6:B98,B98,$C$6:C98,C98,$D$6:D98,"支持")=1),IF(INDEX('问题归类'!$G$6:$G$35,MATCH(B98,'问题归类'!$A$6:$A$35,0))="有效",1,0),0))</x:f>
      </x:c>
      <x:c r="H98" s="16" t="str">
        <x:f>IF(A98="","",IF(G98=1,IF(COUNTIFS($B$6:B98,B98,$F$6:F98,F98,$G$6:G98,1)=1,1,0),0))</x:f>
      </x:c>
      <x:c r="I98" s="16" t="str">
        <x:f>IF(A98="","",IF(AND(D98="反例",COUNTIF('问题归类'!$A$6:$A$35,B98)=1,COUNTIF('评论证据'!$AA$6:$AA$205,C98)&gt;0,COUNTIFS($B$6:B98,B98,$C$6:C98,C98,$D$6:D98,"反例")=1),1,0))</x:f>
      </x:c>
      <x:c r="J98" s="16" t="str">
        <x:f>IF(A98="","",IF(COUNTIF('问题归类'!$A$6:$A$35,B98)&lt;&gt;1,"问题编号缺失或重复",IF(COUNTIF('评论证据'!$D$6:$D$205,C98)=0,"评论编号缺失",IF(COUNTIFS($B$6:B98,B98,$C$6:C98,C98,$D$6:D98,D98)&gt;1,"重复关联不重复计数",""))))</x:f>
      </x:c>
    </x:row>
    <x:row r="99" ht="36" customHeight="1">
      <x:c r="A99" s="11"/>
      <x:c r="B99" s="11"/>
      <x:c r="C99" s="11"/>
      <x:c r="D99" s="11"/>
      <x:c r="E99" s="11"/>
      <x:c r="F99" s="16" t="str">
        <x:f>IF(A99="","",IF(COUNTIF('评论证据'!$AA$6:$AA$205,C99)=0,"缺可定位研究评论",INDEX('评论证据'!$E$6:$E$205,MATCH(C99,'评论证据'!$AA$6:$AA$205,0))))</x:f>
      </x:c>
      <x:c r="G99" s="16" t="str">
        <x:f>IF(A99="","",IF(AND(B99&lt;&gt;"",C99&lt;&gt;"",D99="支持",COUNTIF('问题归类'!$A$6:$A$35,B99)=1,COUNTIFS('评论证据'!$D$6:$D$205,C99,'评论证据'!$T$6:$T$205,1,'评论证据'!$C$6:$C$205,"研究")&gt;0,COUNTIFS($B$6:B99,B99,$C$6:C99,C99,$D$6:D99,"支持")=1),IF(INDEX('问题归类'!$G$6:$G$35,MATCH(B99,'问题归类'!$A$6:$A$35,0))="有效",1,0),0))</x:f>
      </x:c>
      <x:c r="H99" s="16" t="str">
        <x:f>IF(A99="","",IF(G99=1,IF(COUNTIFS($B$6:B99,B99,$F$6:F99,F99,$G$6:G99,1)=1,1,0),0))</x:f>
      </x:c>
      <x:c r="I99" s="16" t="str">
        <x:f>IF(A99="","",IF(AND(D99="反例",COUNTIF('问题归类'!$A$6:$A$35,B99)=1,COUNTIF('评论证据'!$AA$6:$AA$205,C99)&gt;0,COUNTIFS($B$6:B99,B99,$C$6:C99,C99,$D$6:D99,"反例")=1),1,0))</x:f>
      </x:c>
      <x:c r="J99" s="16" t="str">
        <x:f>IF(A99="","",IF(COUNTIF('问题归类'!$A$6:$A$35,B99)&lt;&gt;1,"问题编号缺失或重复",IF(COUNTIF('评论证据'!$D$6:$D$205,C99)=0,"评论编号缺失",IF(COUNTIFS($B$6:B99,B99,$C$6:C99,C99,$D$6:D99,D99)&gt;1,"重复关联不重复计数",""))))</x:f>
      </x:c>
    </x:row>
    <x:row r="100" ht="36" customHeight="1">
      <x:c r="A100" s="11"/>
      <x:c r="B100" s="11"/>
      <x:c r="C100" s="11"/>
      <x:c r="D100" s="11"/>
      <x:c r="E100" s="11"/>
      <x:c r="F100" s="16" t="str">
        <x:f>IF(A100="","",IF(COUNTIF('评论证据'!$AA$6:$AA$205,C100)=0,"缺可定位研究评论",INDEX('评论证据'!$E$6:$E$205,MATCH(C100,'评论证据'!$AA$6:$AA$205,0))))</x:f>
      </x:c>
      <x:c r="G100" s="16" t="str">
        <x:f>IF(A100="","",IF(AND(B100&lt;&gt;"",C100&lt;&gt;"",D100="支持",COUNTIF('问题归类'!$A$6:$A$35,B100)=1,COUNTIFS('评论证据'!$D$6:$D$205,C100,'评论证据'!$T$6:$T$205,1,'评论证据'!$C$6:$C$205,"研究")&gt;0,COUNTIFS($B$6:B100,B100,$C$6:C100,C100,$D$6:D100,"支持")=1),IF(INDEX('问题归类'!$G$6:$G$35,MATCH(B100,'问题归类'!$A$6:$A$35,0))="有效",1,0),0))</x:f>
      </x:c>
      <x:c r="H100" s="16" t="str">
        <x:f>IF(A100="","",IF(G100=1,IF(COUNTIFS($B$6:B100,B100,$F$6:F100,F100,$G$6:G100,1)=1,1,0),0))</x:f>
      </x:c>
      <x:c r="I100" s="16" t="str">
        <x:f>IF(A100="","",IF(AND(D100="反例",COUNTIF('问题归类'!$A$6:$A$35,B100)=1,COUNTIF('评论证据'!$AA$6:$AA$205,C100)&gt;0,COUNTIFS($B$6:B100,B100,$C$6:C100,C100,$D$6:D100,"反例")=1),1,0))</x:f>
      </x:c>
      <x:c r="J100" s="16" t="str">
        <x:f>IF(A100="","",IF(COUNTIF('问题归类'!$A$6:$A$35,B100)&lt;&gt;1,"问题编号缺失或重复",IF(COUNTIF('评论证据'!$D$6:$D$205,C100)=0,"评论编号缺失",IF(COUNTIFS($B$6:B100,B100,$C$6:C100,C100,$D$6:D100,D100)&gt;1,"重复关联不重复计数",""))))</x:f>
      </x:c>
    </x:row>
    <x:row r="101" ht="36" customHeight="1">
      <x:c r="A101" s="11"/>
      <x:c r="B101" s="11"/>
      <x:c r="C101" s="11"/>
      <x:c r="D101" s="11"/>
      <x:c r="E101" s="11"/>
      <x:c r="F101" s="16" t="str">
        <x:f>IF(A101="","",IF(COUNTIF('评论证据'!$AA$6:$AA$205,C101)=0,"缺可定位研究评论",INDEX('评论证据'!$E$6:$E$205,MATCH(C101,'评论证据'!$AA$6:$AA$205,0))))</x:f>
      </x:c>
      <x:c r="G101" s="16" t="str">
        <x:f>IF(A101="","",IF(AND(B101&lt;&gt;"",C101&lt;&gt;"",D101="支持",COUNTIF('问题归类'!$A$6:$A$35,B101)=1,COUNTIFS('评论证据'!$D$6:$D$205,C101,'评论证据'!$T$6:$T$205,1,'评论证据'!$C$6:$C$205,"研究")&gt;0,COUNTIFS($B$6:B101,B101,$C$6:C101,C101,$D$6:D101,"支持")=1),IF(INDEX('问题归类'!$G$6:$G$35,MATCH(B101,'问题归类'!$A$6:$A$35,0))="有效",1,0),0))</x:f>
      </x:c>
      <x:c r="H101" s="16" t="str">
        <x:f>IF(A101="","",IF(G101=1,IF(COUNTIFS($B$6:B101,B101,$F$6:F101,F101,$G$6:G101,1)=1,1,0),0))</x:f>
      </x:c>
      <x:c r="I101" s="16" t="str">
        <x:f>IF(A101="","",IF(AND(D101="反例",COUNTIF('问题归类'!$A$6:$A$35,B101)=1,COUNTIF('评论证据'!$AA$6:$AA$205,C101)&gt;0,COUNTIFS($B$6:B101,B101,$C$6:C101,C101,$D$6:D101,"反例")=1),1,0))</x:f>
      </x:c>
      <x:c r="J101" s="16" t="str">
        <x:f>IF(A101="","",IF(COUNTIF('问题归类'!$A$6:$A$35,B101)&lt;&gt;1,"问题编号缺失或重复",IF(COUNTIF('评论证据'!$D$6:$D$205,C101)=0,"评论编号缺失",IF(COUNTIFS($B$6:B101,B101,$C$6:C101,C101,$D$6:D101,D101)&gt;1,"重复关联不重复计数",""))))</x:f>
      </x:c>
    </x:row>
    <x:row r="102" ht="36" customHeight="1">
      <x:c r="A102" s="11"/>
      <x:c r="B102" s="11"/>
      <x:c r="C102" s="11"/>
      <x:c r="D102" s="11"/>
      <x:c r="E102" s="11"/>
      <x:c r="F102" s="16" t="str">
        <x:f>IF(A102="","",IF(COUNTIF('评论证据'!$AA$6:$AA$205,C102)=0,"缺可定位研究评论",INDEX('评论证据'!$E$6:$E$205,MATCH(C102,'评论证据'!$AA$6:$AA$205,0))))</x:f>
      </x:c>
      <x:c r="G102" s="16" t="str">
        <x:f>IF(A102="","",IF(AND(B102&lt;&gt;"",C102&lt;&gt;"",D102="支持",COUNTIF('问题归类'!$A$6:$A$35,B102)=1,COUNTIFS('评论证据'!$D$6:$D$205,C102,'评论证据'!$T$6:$T$205,1,'评论证据'!$C$6:$C$205,"研究")&gt;0,COUNTIFS($B$6:B102,B102,$C$6:C102,C102,$D$6:D102,"支持")=1),IF(INDEX('问题归类'!$G$6:$G$35,MATCH(B102,'问题归类'!$A$6:$A$35,0))="有效",1,0),0))</x:f>
      </x:c>
      <x:c r="H102" s="16" t="str">
        <x:f>IF(A102="","",IF(G102=1,IF(COUNTIFS($B$6:B102,B102,$F$6:F102,F102,$G$6:G102,1)=1,1,0),0))</x:f>
      </x:c>
      <x:c r="I102" s="16" t="str">
        <x:f>IF(A102="","",IF(AND(D102="反例",COUNTIF('问题归类'!$A$6:$A$35,B102)=1,COUNTIF('评论证据'!$AA$6:$AA$205,C102)&gt;0,COUNTIFS($B$6:B102,B102,$C$6:C102,C102,$D$6:D102,"反例")=1),1,0))</x:f>
      </x:c>
      <x:c r="J102" s="16" t="str">
        <x:f>IF(A102="","",IF(COUNTIF('问题归类'!$A$6:$A$35,B102)&lt;&gt;1,"问题编号缺失或重复",IF(COUNTIF('评论证据'!$D$6:$D$205,C102)=0,"评论编号缺失",IF(COUNTIFS($B$6:B102,B102,$C$6:C102,C102,$D$6:D102,D102)&gt;1,"重复关联不重复计数",""))))</x:f>
      </x:c>
    </x:row>
    <x:row r="103" ht="36" customHeight="1">
      <x:c r="A103" s="11"/>
      <x:c r="B103" s="11"/>
      <x:c r="C103" s="11"/>
      <x:c r="D103" s="11"/>
      <x:c r="E103" s="11"/>
      <x:c r="F103" s="16" t="str">
        <x:f>IF(A103="","",IF(COUNTIF('评论证据'!$AA$6:$AA$205,C103)=0,"缺可定位研究评论",INDEX('评论证据'!$E$6:$E$205,MATCH(C103,'评论证据'!$AA$6:$AA$205,0))))</x:f>
      </x:c>
      <x:c r="G103" s="16" t="str">
        <x:f>IF(A103="","",IF(AND(B103&lt;&gt;"",C103&lt;&gt;"",D103="支持",COUNTIF('问题归类'!$A$6:$A$35,B103)=1,COUNTIFS('评论证据'!$D$6:$D$205,C103,'评论证据'!$T$6:$T$205,1,'评论证据'!$C$6:$C$205,"研究")&gt;0,COUNTIFS($B$6:B103,B103,$C$6:C103,C103,$D$6:D103,"支持")=1),IF(INDEX('问题归类'!$G$6:$G$35,MATCH(B103,'问题归类'!$A$6:$A$35,0))="有效",1,0),0))</x:f>
      </x:c>
      <x:c r="H103" s="16" t="str">
        <x:f>IF(A103="","",IF(G103=1,IF(COUNTIFS($B$6:B103,B103,$F$6:F103,F103,$G$6:G103,1)=1,1,0),0))</x:f>
      </x:c>
      <x:c r="I103" s="16" t="str">
        <x:f>IF(A103="","",IF(AND(D103="反例",COUNTIF('问题归类'!$A$6:$A$35,B103)=1,COUNTIF('评论证据'!$AA$6:$AA$205,C103)&gt;0,COUNTIFS($B$6:B103,B103,$C$6:C103,C103,$D$6:D103,"反例")=1),1,0))</x:f>
      </x:c>
      <x:c r="J103" s="16" t="str">
        <x:f>IF(A103="","",IF(COUNTIF('问题归类'!$A$6:$A$35,B103)&lt;&gt;1,"问题编号缺失或重复",IF(COUNTIF('评论证据'!$D$6:$D$205,C103)=0,"评论编号缺失",IF(COUNTIFS($B$6:B103,B103,$C$6:C103,C103,$D$6:D103,D103)&gt;1,"重复关联不重复计数",""))))</x:f>
      </x:c>
    </x:row>
    <x:row r="104" ht="36" customHeight="1">
      <x:c r="A104" s="11"/>
      <x:c r="B104" s="11"/>
      <x:c r="C104" s="11"/>
      <x:c r="D104" s="11"/>
      <x:c r="E104" s="11"/>
      <x:c r="F104" s="16" t="str">
        <x:f>IF(A104="","",IF(COUNTIF('评论证据'!$AA$6:$AA$205,C104)=0,"缺可定位研究评论",INDEX('评论证据'!$E$6:$E$205,MATCH(C104,'评论证据'!$AA$6:$AA$205,0))))</x:f>
      </x:c>
      <x:c r="G104" s="16" t="str">
        <x:f>IF(A104="","",IF(AND(B104&lt;&gt;"",C104&lt;&gt;"",D104="支持",COUNTIF('问题归类'!$A$6:$A$35,B104)=1,COUNTIFS('评论证据'!$D$6:$D$205,C104,'评论证据'!$T$6:$T$205,1,'评论证据'!$C$6:$C$205,"研究")&gt;0,COUNTIFS($B$6:B104,B104,$C$6:C104,C104,$D$6:D104,"支持")=1),IF(INDEX('问题归类'!$G$6:$G$35,MATCH(B104,'问题归类'!$A$6:$A$35,0))="有效",1,0),0))</x:f>
      </x:c>
      <x:c r="H104" s="16" t="str">
        <x:f>IF(A104="","",IF(G104=1,IF(COUNTIFS($B$6:B104,B104,$F$6:F104,F104,$G$6:G104,1)=1,1,0),0))</x:f>
      </x:c>
      <x:c r="I104" s="16" t="str">
        <x:f>IF(A104="","",IF(AND(D104="反例",COUNTIF('问题归类'!$A$6:$A$35,B104)=1,COUNTIF('评论证据'!$AA$6:$AA$205,C104)&gt;0,COUNTIFS($B$6:B104,B104,$C$6:C104,C104,$D$6:D104,"反例")=1),1,0))</x:f>
      </x:c>
      <x:c r="J104" s="16" t="str">
        <x:f>IF(A104="","",IF(COUNTIF('问题归类'!$A$6:$A$35,B104)&lt;&gt;1,"问题编号缺失或重复",IF(COUNTIF('评论证据'!$D$6:$D$205,C104)=0,"评论编号缺失",IF(COUNTIFS($B$6:B104,B104,$C$6:C104,C104,$D$6:D104,D104)&gt;1,"重复关联不重复计数",""))))</x:f>
      </x:c>
    </x:row>
    <x:row r="105" ht="36" customHeight="1">
      <x:c r="A105" s="11"/>
      <x:c r="B105" s="11"/>
      <x:c r="C105" s="11"/>
      <x:c r="D105" s="11"/>
      <x:c r="E105" s="11"/>
      <x:c r="F105" s="16" t="str">
        <x:f>IF(A105="","",IF(COUNTIF('评论证据'!$AA$6:$AA$205,C105)=0,"缺可定位研究评论",INDEX('评论证据'!$E$6:$E$205,MATCH(C105,'评论证据'!$AA$6:$AA$205,0))))</x:f>
      </x:c>
      <x:c r="G105" s="16" t="str">
        <x:f>IF(A105="","",IF(AND(B105&lt;&gt;"",C105&lt;&gt;"",D105="支持",COUNTIF('问题归类'!$A$6:$A$35,B105)=1,COUNTIFS('评论证据'!$D$6:$D$205,C105,'评论证据'!$T$6:$T$205,1,'评论证据'!$C$6:$C$205,"研究")&gt;0,COUNTIFS($B$6:B105,B105,$C$6:C105,C105,$D$6:D105,"支持")=1),IF(INDEX('问题归类'!$G$6:$G$35,MATCH(B105,'问题归类'!$A$6:$A$35,0))="有效",1,0),0))</x:f>
      </x:c>
      <x:c r="H105" s="16" t="str">
        <x:f>IF(A105="","",IF(G105=1,IF(COUNTIFS($B$6:B105,B105,$F$6:F105,F105,$G$6:G105,1)=1,1,0),0))</x:f>
      </x:c>
      <x:c r="I105" s="16" t="str">
        <x:f>IF(A105="","",IF(AND(D105="反例",COUNTIF('问题归类'!$A$6:$A$35,B105)=1,COUNTIF('评论证据'!$AA$6:$AA$205,C105)&gt;0,COUNTIFS($B$6:B105,B105,$C$6:C105,C105,$D$6:D105,"反例")=1),1,0))</x:f>
      </x:c>
      <x:c r="J105" s="16" t="str">
        <x:f>IF(A105="","",IF(COUNTIF('问题归类'!$A$6:$A$35,B105)&lt;&gt;1,"问题编号缺失或重复",IF(COUNTIF('评论证据'!$D$6:$D$205,C105)=0,"评论编号缺失",IF(COUNTIFS($B$6:B105,B105,$C$6:C105,C105,$D$6:D105,D105)&gt;1,"重复关联不重复计数",""))))</x:f>
      </x:c>
    </x:row>
    <x:row r="106" ht="36" customHeight="1">
      <x:c r="A106" s="11"/>
      <x:c r="B106" s="11"/>
      <x:c r="C106" s="11"/>
      <x:c r="D106" s="11"/>
      <x:c r="E106" s="11"/>
      <x:c r="F106" s="16" t="str">
        <x:f>IF(A106="","",IF(COUNTIF('评论证据'!$AA$6:$AA$205,C106)=0,"缺可定位研究评论",INDEX('评论证据'!$E$6:$E$205,MATCH(C106,'评论证据'!$AA$6:$AA$205,0))))</x:f>
      </x:c>
      <x:c r="G106" s="16" t="str">
        <x:f>IF(A106="","",IF(AND(B106&lt;&gt;"",C106&lt;&gt;"",D106="支持",COUNTIF('问题归类'!$A$6:$A$35,B106)=1,COUNTIFS('评论证据'!$D$6:$D$205,C106,'评论证据'!$T$6:$T$205,1,'评论证据'!$C$6:$C$205,"研究")&gt;0,COUNTIFS($B$6:B106,B106,$C$6:C106,C106,$D$6:D106,"支持")=1),IF(INDEX('问题归类'!$G$6:$G$35,MATCH(B106,'问题归类'!$A$6:$A$35,0))="有效",1,0),0))</x:f>
      </x:c>
      <x:c r="H106" s="16" t="str">
        <x:f>IF(A106="","",IF(G106=1,IF(COUNTIFS($B$6:B106,B106,$F$6:F106,F106,$G$6:G106,1)=1,1,0),0))</x:f>
      </x:c>
      <x:c r="I106" s="16" t="str">
        <x:f>IF(A106="","",IF(AND(D106="反例",COUNTIF('问题归类'!$A$6:$A$35,B106)=1,COUNTIF('评论证据'!$AA$6:$AA$205,C106)&gt;0,COUNTIFS($B$6:B106,B106,$C$6:C106,C106,$D$6:D106,"反例")=1),1,0))</x:f>
      </x:c>
      <x:c r="J106" s="16" t="str">
        <x:f>IF(A106="","",IF(COUNTIF('问题归类'!$A$6:$A$35,B106)&lt;&gt;1,"问题编号缺失或重复",IF(COUNTIF('评论证据'!$D$6:$D$205,C106)=0,"评论编号缺失",IF(COUNTIFS($B$6:B106,B106,$C$6:C106,C106,$D$6:D106,D106)&gt;1,"重复关联不重复计数",""))))</x:f>
      </x:c>
    </x:row>
    <x:row r="107" ht="36" customHeight="1">
      <x:c r="A107" s="11"/>
      <x:c r="B107" s="11"/>
      <x:c r="C107" s="11"/>
      <x:c r="D107" s="11"/>
      <x:c r="E107" s="11"/>
      <x:c r="F107" s="16" t="str">
        <x:f>IF(A107="","",IF(COUNTIF('评论证据'!$AA$6:$AA$205,C107)=0,"缺可定位研究评论",INDEX('评论证据'!$E$6:$E$205,MATCH(C107,'评论证据'!$AA$6:$AA$205,0))))</x:f>
      </x:c>
      <x:c r="G107" s="16" t="str">
        <x:f>IF(A107="","",IF(AND(B107&lt;&gt;"",C107&lt;&gt;"",D107="支持",COUNTIF('问题归类'!$A$6:$A$35,B107)=1,COUNTIFS('评论证据'!$D$6:$D$205,C107,'评论证据'!$T$6:$T$205,1,'评论证据'!$C$6:$C$205,"研究")&gt;0,COUNTIFS($B$6:B107,B107,$C$6:C107,C107,$D$6:D107,"支持")=1),IF(INDEX('问题归类'!$G$6:$G$35,MATCH(B107,'问题归类'!$A$6:$A$35,0))="有效",1,0),0))</x:f>
      </x:c>
      <x:c r="H107" s="16" t="str">
        <x:f>IF(A107="","",IF(G107=1,IF(COUNTIFS($B$6:B107,B107,$F$6:F107,F107,$G$6:G107,1)=1,1,0),0))</x:f>
      </x:c>
      <x:c r="I107" s="16" t="str">
        <x:f>IF(A107="","",IF(AND(D107="反例",COUNTIF('问题归类'!$A$6:$A$35,B107)=1,COUNTIF('评论证据'!$AA$6:$AA$205,C107)&gt;0,COUNTIFS($B$6:B107,B107,$C$6:C107,C107,$D$6:D107,"反例")=1),1,0))</x:f>
      </x:c>
      <x:c r="J107" s="16" t="str">
        <x:f>IF(A107="","",IF(COUNTIF('问题归类'!$A$6:$A$35,B107)&lt;&gt;1,"问题编号缺失或重复",IF(COUNTIF('评论证据'!$D$6:$D$205,C107)=0,"评论编号缺失",IF(COUNTIFS($B$6:B107,B107,$C$6:C107,C107,$D$6:D107,D107)&gt;1,"重复关联不重复计数",""))))</x:f>
      </x:c>
    </x:row>
    <x:row r="108" ht="36" customHeight="1">
      <x:c r="A108" s="11"/>
      <x:c r="B108" s="11"/>
      <x:c r="C108" s="11"/>
      <x:c r="D108" s="11"/>
      <x:c r="E108" s="11"/>
      <x:c r="F108" s="16" t="str">
        <x:f>IF(A108="","",IF(COUNTIF('评论证据'!$AA$6:$AA$205,C108)=0,"缺可定位研究评论",INDEX('评论证据'!$E$6:$E$205,MATCH(C108,'评论证据'!$AA$6:$AA$205,0))))</x:f>
      </x:c>
      <x:c r="G108" s="16" t="str">
        <x:f>IF(A108="","",IF(AND(B108&lt;&gt;"",C108&lt;&gt;"",D108="支持",COUNTIF('问题归类'!$A$6:$A$35,B108)=1,COUNTIFS('评论证据'!$D$6:$D$205,C108,'评论证据'!$T$6:$T$205,1,'评论证据'!$C$6:$C$205,"研究")&gt;0,COUNTIFS($B$6:B108,B108,$C$6:C108,C108,$D$6:D108,"支持")=1),IF(INDEX('问题归类'!$G$6:$G$35,MATCH(B108,'问题归类'!$A$6:$A$35,0))="有效",1,0),0))</x:f>
      </x:c>
      <x:c r="H108" s="16" t="str">
        <x:f>IF(A108="","",IF(G108=1,IF(COUNTIFS($B$6:B108,B108,$F$6:F108,F108,$G$6:G108,1)=1,1,0),0))</x:f>
      </x:c>
      <x:c r="I108" s="16" t="str">
        <x:f>IF(A108="","",IF(AND(D108="反例",COUNTIF('问题归类'!$A$6:$A$35,B108)=1,COUNTIF('评论证据'!$AA$6:$AA$205,C108)&gt;0,COUNTIFS($B$6:B108,B108,$C$6:C108,C108,$D$6:D108,"反例")=1),1,0))</x:f>
      </x:c>
      <x:c r="J108" s="16" t="str">
        <x:f>IF(A108="","",IF(COUNTIF('问题归类'!$A$6:$A$35,B108)&lt;&gt;1,"问题编号缺失或重复",IF(COUNTIF('评论证据'!$D$6:$D$205,C108)=0,"评论编号缺失",IF(COUNTIFS($B$6:B108,B108,$C$6:C108,C108,$D$6:D108,D108)&gt;1,"重复关联不重复计数",""))))</x:f>
      </x:c>
    </x:row>
    <x:row r="109" ht="36" customHeight="1">
      <x:c r="A109" s="11"/>
      <x:c r="B109" s="11"/>
      <x:c r="C109" s="11"/>
      <x:c r="D109" s="11"/>
      <x:c r="E109" s="11"/>
      <x:c r="F109" s="16" t="str">
        <x:f>IF(A109="","",IF(COUNTIF('评论证据'!$AA$6:$AA$205,C109)=0,"缺可定位研究评论",INDEX('评论证据'!$E$6:$E$205,MATCH(C109,'评论证据'!$AA$6:$AA$205,0))))</x:f>
      </x:c>
      <x:c r="G109" s="16" t="str">
        <x:f>IF(A109="","",IF(AND(B109&lt;&gt;"",C109&lt;&gt;"",D109="支持",COUNTIF('问题归类'!$A$6:$A$35,B109)=1,COUNTIFS('评论证据'!$D$6:$D$205,C109,'评论证据'!$T$6:$T$205,1,'评论证据'!$C$6:$C$205,"研究")&gt;0,COUNTIFS($B$6:B109,B109,$C$6:C109,C109,$D$6:D109,"支持")=1),IF(INDEX('问题归类'!$G$6:$G$35,MATCH(B109,'问题归类'!$A$6:$A$35,0))="有效",1,0),0))</x:f>
      </x:c>
      <x:c r="H109" s="16" t="str">
        <x:f>IF(A109="","",IF(G109=1,IF(COUNTIFS($B$6:B109,B109,$F$6:F109,F109,$G$6:G109,1)=1,1,0),0))</x:f>
      </x:c>
      <x:c r="I109" s="16" t="str">
        <x:f>IF(A109="","",IF(AND(D109="反例",COUNTIF('问题归类'!$A$6:$A$35,B109)=1,COUNTIF('评论证据'!$AA$6:$AA$205,C109)&gt;0,COUNTIFS($B$6:B109,B109,$C$6:C109,C109,$D$6:D109,"反例")=1),1,0))</x:f>
      </x:c>
      <x:c r="J109" s="16" t="str">
        <x:f>IF(A109="","",IF(COUNTIF('问题归类'!$A$6:$A$35,B109)&lt;&gt;1,"问题编号缺失或重复",IF(COUNTIF('评论证据'!$D$6:$D$205,C109)=0,"评论编号缺失",IF(COUNTIFS($B$6:B109,B109,$C$6:C109,C109,$D$6:D109,D109)&gt;1,"重复关联不重复计数",""))))</x:f>
      </x:c>
    </x:row>
    <x:row r="110" ht="36" customHeight="1">
      <x:c r="A110" s="11"/>
      <x:c r="B110" s="11"/>
      <x:c r="C110" s="11"/>
      <x:c r="D110" s="11"/>
      <x:c r="E110" s="11"/>
      <x:c r="F110" s="16" t="str">
        <x:f>IF(A110="","",IF(COUNTIF('评论证据'!$AA$6:$AA$205,C110)=0,"缺可定位研究评论",INDEX('评论证据'!$E$6:$E$205,MATCH(C110,'评论证据'!$AA$6:$AA$205,0))))</x:f>
      </x:c>
      <x:c r="G110" s="16" t="str">
        <x:f>IF(A110="","",IF(AND(B110&lt;&gt;"",C110&lt;&gt;"",D110="支持",COUNTIF('问题归类'!$A$6:$A$35,B110)=1,COUNTIFS('评论证据'!$D$6:$D$205,C110,'评论证据'!$T$6:$T$205,1,'评论证据'!$C$6:$C$205,"研究")&gt;0,COUNTIFS($B$6:B110,B110,$C$6:C110,C110,$D$6:D110,"支持")=1),IF(INDEX('问题归类'!$G$6:$G$35,MATCH(B110,'问题归类'!$A$6:$A$35,0))="有效",1,0),0))</x:f>
      </x:c>
      <x:c r="H110" s="16" t="str">
        <x:f>IF(A110="","",IF(G110=1,IF(COUNTIFS($B$6:B110,B110,$F$6:F110,F110,$G$6:G110,1)=1,1,0),0))</x:f>
      </x:c>
      <x:c r="I110" s="16" t="str">
        <x:f>IF(A110="","",IF(AND(D110="反例",COUNTIF('问题归类'!$A$6:$A$35,B110)=1,COUNTIF('评论证据'!$AA$6:$AA$205,C110)&gt;0,COUNTIFS($B$6:B110,B110,$C$6:C110,C110,$D$6:D110,"反例")=1),1,0))</x:f>
      </x:c>
      <x:c r="J110" s="16" t="str">
        <x:f>IF(A110="","",IF(COUNTIF('问题归类'!$A$6:$A$35,B110)&lt;&gt;1,"问题编号缺失或重复",IF(COUNTIF('评论证据'!$D$6:$D$205,C110)=0,"评论编号缺失",IF(COUNTIFS($B$6:B110,B110,$C$6:C110,C110,$D$6:D110,D110)&gt;1,"重复关联不重复计数",""))))</x:f>
      </x:c>
    </x:row>
    <x:row r="111" ht="36" customHeight="1">
      <x:c r="A111" s="11"/>
      <x:c r="B111" s="11"/>
      <x:c r="C111" s="11"/>
      <x:c r="D111" s="11"/>
      <x:c r="E111" s="11"/>
      <x:c r="F111" s="16" t="str">
        <x:f>IF(A111="","",IF(COUNTIF('评论证据'!$AA$6:$AA$205,C111)=0,"缺可定位研究评论",INDEX('评论证据'!$E$6:$E$205,MATCH(C111,'评论证据'!$AA$6:$AA$205,0))))</x:f>
      </x:c>
      <x:c r="G111" s="16" t="str">
        <x:f>IF(A111="","",IF(AND(B111&lt;&gt;"",C111&lt;&gt;"",D111="支持",COUNTIF('问题归类'!$A$6:$A$35,B111)=1,COUNTIFS('评论证据'!$D$6:$D$205,C111,'评论证据'!$T$6:$T$205,1,'评论证据'!$C$6:$C$205,"研究")&gt;0,COUNTIFS($B$6:B111,B111,$C$6:C111,C111,$D$6:D111,"支持")=1),IF(INDEX('问题归类'!$G$6:$G$35,MATCH(B111,'问题归类'!$A$6:$A$35,0))="有效",1,0),0))</x:f>
      </x:c>
      <x:c r="H111" s="16" t="str">
        <x:f>IF(A111="","",IF(G111=1,IF(COUNTIFS($B$6:B111,B111,$F$6:F111,F111,$G$6:G111,1)=1,1,0),0))</x:f>
      </x:c>
      <x:c r="I111" s="16" t="str">
        <x:f>IF(A111="","",IF(AND(D111="反例",COUNTIF('问题归类'!$A$6:$A$35,B111)=1,COUNTIF('评论证据'!$AA$6:$AA$205,C111)&gt;0,COUNTIFS($B$6:B111,B111,$C$6:C111,C111,$D$6:D111,"反例")=1),1,0))</x:f>
      </x:c>
      <x:c r="J111" s="16" t="str">
        <x:f>IF(A111="","",IF(COUNTIF('问题归类'!$A$6:$A$35,B111)&lt;&gt;1,"问题编号缺失或重复",IF(COUNTIF('评论证据'!$D$6:$D$205,C111)=0,"评论编号缺失",IF(COUNTIFS($B$6:B111,B111,$C$6:C111,C111,$D$6:D111,D111)&gt;1,"重复关联不重复计数",""))))</x:f>
      </x:c>
    </x:row>
    <x:row r="112" ht="36" customHeight="1">
      <x:c r="A112" s="11"/>
      <x:c r="B112" s="11"/>
      <x:c r="C112" s="11"/>
      <x:c r="D112" s="11"/>
      <x:c r="E112" s="11"/>
      <x:c r="F112" s="16" t="str">
        <x:f>IF(A112="","",IF(COUNTIF('评论证据'!$AA$6:$AA$205,C112)=0,"缺可定位研究评论",INDEX('评论证据'!$E$6:$E$205,MATCH(C112,'评论证据'!$AA$6:$AA$205,0))))</x:f>
      </x:c>
      <x:c r="G112" s="16" t="str">
        <x:f>IF(A112="","",IF(AND(B112&lt;&gt;"",C112&lt;&gt;"",D112="支持",COUNTIF('问题归类'!$A$6:$A$35,B112)=1,COUNTIFS('评论证据'!$D$6:$D$205,C112,'评论证据'!$T$6:$T$205,1,'评论证据'!$C$6:$C$205,"研究")&gt;0,COUNTIFS($B$6:B112,B112,$C$6:C112,C112,$D$6:D112,"支持")=1),IF(INDEX('问题归类'!$G$6:$G$35,MATCH(B112,'问题归类'!$A$6:$A$35,0))="有效",1,0),0))</x:f>
      </x:c>
      <x:c r="H112" s="16" t="str">
        <x:f>IF(A112="","",IF(G112=1,IF(COUNTIFS($B$6:B112,B112,$F$6:F112,F112,$G$6:G112,1)=1,1,0),0))</x:f>
      </x:c>
      <x:c r="I112" s="16" t="str">
        <x:f>IF(A112="","",IF(AND(D112="反例",COUNTIF('问题归类'!$A$6:$A$35,B112)=1,COUNTIF('评论证据'!$AA$6:$AA$205,C112)&gt;0,COUNTIFS($B$6:B112,B112,$C$6:C112,C112,$D$6:D112,"反例")=1),1,0))</x:f>
      </x:c>
      <x:c r="J112" s="16" t="str">
        <x:f>IF(A112="","",IF(COUNTIF('问题归类'!$A$6:$A$35,B112)&lt;&gt;1,"问题编号缺失或重复",IF(COUNTIF('评论证据'!$D$6:$D$205,C112)=0,"评论编号缺失",IF(COUNTIFS($B$6:B112,B112,$C$6:C112,C112,$D$6:D112,D112)&gt;1,"重复关联不重复计数",""))))</x:f>
      </x:c>
    </x:row>
    <x:row r="113" ht="36" customHeight="1">
      <x:c r="A113" s="11"/>
      <x:c r="B113" s="11"/>
      <x:c r="C113" s="11"/>
      <x:c r="D113" s="11"/>
      <x:c r="E113" s="11"/>
      <x:c r="F113" s="16" t="str">
        <x:f>IF(A113="","",IF(COUNTIF('评论证据'!$AA$6:$AA$205,C113)=0,"缺可定位研究评论",INDEX('评论证据'!$E$6:$E$205,MATCH(C113,'评论证据'!$AA$6:$AA$205,0))))</x:f>
      </x:c>
      <x:c r="G113" s="16" t="str">
        <x:f>IF(A113="","",IF(AND(B113&lt;&gt;"",C113&lt;&gt;"",D113="支持",COUNTIF('问题归类'!$A$6:$A$35,B113)=1,COUNTIFS('评论证据'!$D$6:$D$205,C113,'评论证据'!$T$6:$T$205,1,'评论证据'!$C$6:$C$205,"研究")&gt;0,COUNTIFS($B$6:B113,B113,$C$6:C113,C113,$D$6:D113,"支持")=1),IF(INDEX('问题归类'!$G$6:$G$35,MATCH(B113,'问题归类'!$A$6:$A$35,0))="有效",1,0),0))</x:f>
      </x:c>
      <x:c r="H113" s="16" t="str">
        <x:f>IF(A113="","",IF(G113=1,IF(COUNTIFS($B$6:B113,B113,$F$6:F113,F113,$G$6:G113,1)=1,1,0),0))</x:f>
      </x:c>
      <x:c r="I113" s="16" t="str">
        <x:f>IF(A113="","",IF(AND(D113="反例",COUNTIF('问题归类'!$A$6:$A$35,B113)=1,COUNTIF('评论证据'!$AA$6:$AA$205,C113)&gt;0,COUNTIFS($B$6:B113,B113,$C$6:C113,C113,$D$6:D113,"反例")=1),1,0))</x:f>
      </x:c>
      <x:c r="J113" s="16" t="str">
        <x:f>IF(A113="","",IF(COUNTIF('问题归类'!$A$6:$A$35,B113)&lt;&gt;1,"问题编号缺失或重复",IF(COUNTIF('评论证据'!$D$6:$D$205,C113)=0,"评论编号缺失",IF(COUNTIFS($B$6:B113,B113,$C$6:C113,C113,$D$6:D113,D113)&gt;1,"重复关联不重复计数",""))))</x:f>
      </x:c>
    </x:row>
    <x:row r="114" ht="36" customHeight="1">
      <x:c r="A114" s="11"/>
      <x:c r="B114" s="11"/>
      <x:c r="C114" s="11"/>
      <x:c r="D114" s="11"/>
      <x:c r="E114" s="11"/>
      <x:c r="F114" s="16" t="str">
        <x:f>IF(A114="","",IF(COUNTIF('评论证据'!$AA$6:$AA$205,C114)=0,"缺可定位研究评论",INDEX('评论证据'!$E$6:$E$205,MATCH(C114,'评论证据'!$AA$6:$AA$205,0))))</x:f>
      </x:c>
      <x:c r="G114" s="16" t="str">
        <x:f>IF(A114="","",IF(AND(B114&lt;&gt;"",C114&lt;&gt;"",D114="支持",COUNTIF('问题归类'!$A$6:$A$35,B114)=1,COUNTIFS('评论证据'!$D$6:$D$205,C114,'评论证据'!$T$6:$T$205,1,'评论证据'!$C$6:$C$205,"研究")&gt;0,COUNTIFS($B$6:B114,B114,$C$6:C114,C114,$D$6:D114,"支持")=1),IF(INDEX('问题归类'!$G$6:$G$35,MATCH(B114,'问题归类'!$A$6:$A$35,0))="有效",1,0),0))</x:f>
      </x:c>
      <x:c r="H114" s="16" t="str">
        <x:f>IF(A114="","",IF(G114=1,IF(COUNTIFS($B$6:B114,B114,$F$6:F114,F114,$G$6:G114,1)=1,1,0),0))</x:f>
      </x:c>
      <x:c r="I114" s="16" t="str">
        <x:f>IF(A114="","",IF(AND(D114="反例",COUNTIF('问题归类'!$A$6:$A$35,B114)=1,COUNTIF('评论证据'!$AA$6:$AA$205,C114)&gt;0,COUNTIFS($B$6:B114,B114,$C$6:C114,C114,$D$6:D114,"反例")=1),1,0))</x:f>
      </x:c>
      <x:c r="J114" s="16" t="str">
        <x:f>IF(A114="","",IF(COUNTIF('问题归类'!$A$6:$A$35,B114)&lt;&gt;1,"问题编号缺失或重复",IF(COUNTIF('评论证据'!$D$6:$D$205,C114)=0,"评论编号缺失",IF(COUNTIFS($B$6:B114,B114,$C$6:C114,C114,$D$6:D114,D114)&gt;1,"重复关联不重复计数",""))))</x:f>
      </x:c>
    </x:row>
    <x:row r="115" ht="36" customHeight="1">
      <x:c r="A115" s="11"/>
      <x:c r="B115" s="11"/>
      <x:c r="C115" s="11"/>
      <x:c r="D115" s="11"/>
      <x:c r="E115" s="11"/>
      <x:c r="F115" s="16" t="str">
        <x:f>IF(A115="","",IF(COUNTIF('评论证据'!$AA$6:$AA$205,C115)=0,"缺可定位研究评论",INDEX('评论证据'!$E$6:$E$205,MATCH(C115,'评论证据'!$AA$6:$AA$205,0))))</x:f>
      </x:c>
      <x:c r="G115" s="16" t="str">
        <x:f>IF(A115="","",IF(AND(B115&lt;&gt;"",C115&lt;&gt;"",D115="支持",COUNTIF('问题归类'!$A$6:$A$35,B115)=1,COUNTIFS('评论证据'!$D$6:$D$205,C115,'评论证据'!$T$6:$T$205,1,'评论证据'!$C$6:$C$205,"研究")&gt;0,COUNTIFS($B$6:B115,B115,$C$6:C115,C115,$D$6:D115,"支持")=1),IF(INDEX('问题归类'!$G$6:$G$35,MATCH(B115,'问题归类'!$A$6:$A$35,0))="有效",1,0),0))</x:f>
      </x:c>
      <x:c r="H115" s="16" t="str">
        <x:f>IF(A115="","",IF(G115=1,IF(COUNTIFS($B$6:B115,B115,$F$6:F115,F115,$G$6:G115,1)=1,1,0),0))</x:f>
      </x:c>
      <x:c r="I115" s="16" t="str">
        <x:f>IF(A115="","",IF(AND(D115="反例",COUNTIF('问题归类'!$A$6:$A$35,B115)=1,COUNTIF('评论证据'!$AA$6:$AA$205,C115)&gt;0,COUNTIFS($B$6:B115,B115,$C$6:C115,C115,$D$6:D115,"反例")=1),1,0))</x:f>
      </x:c>
      <x:c r="J115" s="16" t="str">
        <x:f>IF(A115="","",IF(COUNTIF('问题归类'!$A$6:$A$35,B115)&lt;&gt;1,"问题编号缺失或重复",IF(COUNTIF('评论证据'!$D$6:$D$205,C115)=0,"评论编号缺失",IF(COUNTIFS($B$6:B115,B115,$C$6:C115,C115,$D$6:D115,D115)&gt;1,"重复关联不重复计数",""))))</x:f>
      </x:c>
    </x:row>
    <x:row r="116" ht="36" customHeight="1">
      <x:c r="A116" s="11"/>
      <x:c r="B116" s="11"/>
      <x:c r="C116" s="11"/>
      <x:c r="D116" s="11"/>
      <x:c r="E116" s="11"/>
      <x:c r="F116" s="16" t="str">
        <x:f>IF(A116="","",IF(COUNTIF('评论证据'!$AA$6:$AA$205,C116)=0,"缺可定位研究评论",INDEX('评论证据'!$E$6:$E$205,MATCH(C116,'评论证据'!$AA$6:$AA$205,0))))</x:f>
      </x:c>
      <x:c r="G116" s="16" t="str">
        <x:f>IF(A116="","",IF(AND(B116&lt;&gt;"",C116&lt;&gt;"",D116="支持",COUNTIF('问题归类'!$A$6:$A$35,B116)=1,COUNTIFS('评论证据'!$D$6:$D$205,C116,'评论证据'!$T$6:$T$205,1,'评论证据'!$C$6:$C$205,"研究")&gt;0,COUNTIFS($B$6:B116,B116,$C$6:C116,C116,$D$6:D116,"支持")=1),IF(INDEX('问题归类'!$G$6:$G$35,MATCH(B116,'问题归类'!$A$6:$A$35,0))="有效",1,0),0))</x:f>
      </x:c>
      <x:c r="H116" s="16" t="str">
        <x:f>IF(A116="","",IF(G116=1,IF(COUNTIFS($B$6:B116,B116,$F$6:F116,F116,$G$6:G116,1)=1,1,0),0))</x:f>
      </x:c>
      <x:c r="I116" s="16" t="str">
        <x:f>IF(A116="","",IF(AND(D116="反例",COUNTIF('问题归类'!$A$6:$A$35,B116)=1,COUNTIF('评论证据'!$AA$6:$AA$205,C116)&gt;0,COUNTIFS($B$6:B116,B116,$C$6:C116,C116,$D$6:D116,"反例")=1),1,0))</x:f>
      </x:c>
      <x:c r="J116" s="16" t="str">
        <x:f>IF(A116="","",IF(COUNTIF('问题归类'!$A$6:$A$35,B116)&lt;&gt;1,"问题编号缺失或重复",IF(COUNTIF('评论证据'!$D$6:$D$205,C116)=0,"评论编号缺失",IF(COUNTIFS($B$6:B116,B116,$C$6:C116,C116,$D$6:D116,D116)&gt;1,"重复关联不重复计数",""))))</x:f>
      </x:c>
    </x:row>
    <x:row r="117" ht="36" customHeight="1">
      <x:c r="A117" s="11"/>
      <x:c r="B117" s="11"/>
      <x:c r="C117" s="11"/>
      <x:c r="D117" s="11"/>
      <x:c r="E117" s="11"/>
      <x:c r="F117" s="16" t="str">
        <x:f>IF(A117="","",IF(COUNTIF('评论证据'!$AA$6:$AA$205,C117)=0,"缺可定位研究评论",INDEX('评论证据'!$E$6:$E$205,MATCH(C117,'评论证据'!$AA$6:$AA$205,0))))</x:f>
      </x:c>
      <x:c r="G117" s="16" t="str">
        <x:f>IF(A117="","",IF(AND(B117&lt;&gt;"",C117&lt;&gt;"",D117="支持",COUNTIF('问题归类'!$A$6:$A$35,B117)=1,COUNTIFS('评论证据'!$D$6:$D$205,C117,'评论证据'!$T$6:$T$205,1,'评论证据'!$C$6:$C$205,"研究")&gt;0,COUNTIFS($B$6:B117,B117,$C$6:C117,C117,$D$6:D117,"支持")=1),IF(INDEX('问题归类'!$G$6:$G$35,MATCH(B117,'问题归类'!$A$6:$A$35,0))="有效",1,0),0))</x:f>
      </x:c>
      <x:c r="H117" s="16" t="str">
        <x:f>IF(A117="","",IF(G117=1,IF(COUNTIFS($B$6:B117,B117,$F$6:F117,F117,$G$6:G117,1)=1,1,0),0))</x:f>
      </x:c>
      <x:c r="I117" s="16" t="str">
        <x:f>IF(A117="","",IF(AND(D117="反例",COUNTIF('问题归类'!$A$6:$A$35,B117)=1,COUNTIF('评论证据'!$AA$6:$AA$205,C117)&gt;0,COUNTIFS($B$6:B117,B117,$C$6:C117,C117,$D$6:D117,"反例")=1),1,0))</x:f>
      </x:c>
      <x:c r="J117" s="16" t="str">
        <x:f>IF(A117="","",IF(COUNTIF('问题归类'!$A$6:$A$35,B117)&lt;&gt;1,"问题编号缺失或重复",IF(COUNTIF('评论证据'!$D$6:$D$205,C117)=0,"评论编号缺失",IF(COUNTIFS($B$6:B117,B117,$C$6:C117,C117,$D$6:D117,D117)&gt;1,"重复关联不重复计数",""))))</x:f>
      </x:c>
    </x:row>
    <x:row r="118" ht="36" customHeight="1">
      <x:c r="A118" s="11"/>
      <x:c r="B118" s="11"/>
      <x:c r="C118" s="11"/>
      <x:c r="D118" s="11"/>
      <x:c r="E118" s="11"/>
      <x:c r="F118" s="16" t="str">
        <x:f>IF(A118="","",IF(COUNTIF('评论证据'!$AA$6:$AA$205,C118)=0,"缺可定位研究评论",INDEX('评论证据'!$E$6:$E$205,MATCH(C118,'评论证据'!$AA$6:$AA$205,0))))</x:f>
      </x:c>
      <x:c r="G118" s="16" t="str">
        <x:f>IF(A118="","",IF(AND(B118&lt;&gt;"",C118&lt;&gt;"",D118="支持",COUNTIF('问题归类'!$A$6:$A$35,B118)=1,COUNTIFS('评论证据'!$D$6:$D$205,C118,'评论证据'!$T$6:$T$205,1,'评论证据'!$C$6:$C$205,"研究")&gt;0,COUNTIFS($B$6:B118,B118,$C$6:C118,C118,$D$6:D118,"支持")=1),IF(INDEX('问题归类'!$G$6:$G$35,MATCH(B118,'问题归类'!$A$6:$A$35,0))="有效",1,0),0))</x:f>
      </x:c>
      <x:c r="H118" s="16" t="str">
        <x:f>IF(A118="","",IF(G118=1,IF(COUNTIFS($B$6:B118,B118,$F$6:F118,F118,$G$6:G118,1)=1,1,0),0))</x:f>
      </x:c>
      <x:c r="I118" s="16" t="str">
        <x:f>IF(A118="","",IF(AND(D118="反例",COUNTIF('问题归类'!$A$6:$A$35,B118)=1,COUNTIF('评论证据'!$AA$6:$AA$205,C118)&gt;0,COUNTIFS($B$6:B118,B118,$C$6:C118,C118,$D$6:D118,"反例")=1),1,0))</x:f>
      </x:c>
      <x:c r="J118" s="16" t="str">
        <x:f>IF(A118="","",IF(COUNTIF('问题归类'!$A$6:$A$35,B118)&lt;&gt;1,"问题编号缺失或重复",IF(COUNTIF('评论证据'!$D$6:$D$205,C118)=0,"评论编号缺失",IF(COUNTIFS($B$6:B118,B118,$C$6:C118,C118,$D$6:D118,D118)&gt;1,"重复关联不重复计数",""))))</x:f>
      </x:c>
    </x:row>
    <x:row r="119" ht="36" customHeight="1">
      <x:c r="A119" s="11"/>
      <x:c r="B119" s="11"/>
      <x:c r="C119" s="11"/>
      <x:c r="D119" s="11"/>
      <x:c r="E119" s="11"/>
      <x:c r="F119" s="16" t="str">
        <x:f>IF(A119="","",IF(COUNTIF('评论证据'!$AA$6:$AA$205,C119)=0,"缺可定位研究评论",INDEX('评论证据'!$E$6:$E$205,MATCH(C119,'评论证据'!$AA$6:$AA$205,0))))</x:f>
      </x:c>
      <x:c r="G119" s="16" t="str">
        <x:f>IF(A119="","",IF(AND(B119&lt;&gt;"",C119&lt;&gt;"",D119="支持",COUNTIF('问题归类'!$A$6:$A$35,B119)=1,COUNTIFS('评论证据'!$D$6:$D$205,C119,'评论证据'!$T$6:$T$205,1,'评论证据'!$C$6:$C$205,"研究")&gt;0,COUNTIFS($B$6:B119,B119,$C$6:C119,C119,$D$6:D119,"支持")=1),IF(INDEX('问题归类'!$G$6:$G$35,MATCH(B119,'问题归类'!$A$6:$A$35,0))="有效",1,0),0))</x:f>
      </x:c>
      <x:c r="H119" s="16" t="str">
        <x:f>IF(A119="","",IF(G119=1,IF(COUNTIFS($B$6:B119,B119,$F$6:F119,F119,$G$6:G119,1)=1,1,0),0))</x:f>
      </x:c>
      <x:c r="I119" s="16" t="str">
        <x:f>IF(A119="","",IF(AND(D119="反例",COUNTIF('问题归类'!$A$6:$A$35,B119)=1,COUNTIF('评论证据'!$AA$6:$AA$205,C119)&gt;0,COUNTIFS($B$6:B119,B119,$C$6:C119,C119,$D$6:D119,"反例")=1),1,0))</x:f>
      </x:c>
      <x:c r="J119" s="16" t="str">
        <x:f>IF(A119="","",IF(COUNTIF('问题归类'!$A$6:$A$35,B119)&lt;&gt;1,"问题编号缺失或重复",IF(COUNTIF('评论证据'!$D$6:$D$205,C119)=0,"评论编号缺失",IF(COUNTIFS($B$6:B119,B119,$C$6:C119,C119,$D$6:D119,D119)&gt;1,"重复关联不重复计数",""))))</x:f>
      </x:c>
    </x:row>
    <x:row r="120" ht="36" customHeight="1">
      <x:c r="A120" s="11"/>
      <x:c r="B120" s="11"/>
      <x:c r="C120" s="11"/>
      <x:c r="D120" s="11"/>
      <x:c r="E120" s="11"/>
      <x:c r="F120" s="16" t="str">
        <x:f>IF(A120="","",IF(COUNTIF('评论证据'!$AA$6:$AA$205,C120)=0,"缺可定位研究评论",INDEX('评论证据'!$E$6:$E$205,MATCH(C120,'评论证据'!$AA$6:$AA$205,0))))</x:f>
      </x:c>
      <x:c r="G120" s="16" t="str">
        <x:f>IF(A120="","",IF(AND(B120&lt;&gt;"",C120&lt;&gt;"",D120="支持",COUNTIF('问题归类'!$A$6:$A$35,B120)=1,COUNTIFS('评论证据'!$D$6:$D$205,C120,'评论证据'!$T$6:$T$205,1,'评论证据'!$C$6:$C$205,"研究")&gt;0,COUNTIFS($B$6:B120,B120,$C$6:C120,C120,$D$6:D120,"支持")=1),IF(INDEX('问题归类'!$G$6:$G$35,MATCH(B120,'问题归类'!$A$6:$A$35,0))="有效",1,0),0))</x:f>
      </x:c>
      <x:c r="H120" s="16" t="str">
        <x:f>IF(A120="","",IF(G120=1,IF(COUNTIFS($B$6:B120,B120,$F$6:F120,F120,$G$6:G120,1)=1,1,0),0))</x:f>
      </x:c>
      <x:c r="I120" s="16" t="str">
        <x:f>IF(A120="","",IF(AND(D120="反例",COUNTIF('问题归类'!$A$6:$A$35,B120)=1,COUNTIF('评论证据'!$AA$6:$AA$205,C120)&gt;0,COUNTIFS($B$6:B120,B120,$C$6:C120,C120,$D$6:D120,"反例")=1),1,0))</x:f>
      </x:c>
      <x:c r="J120" s="16" t="str">
        <x:f>IF(A120="","",IF(COUNTIF('问题归类'!$A$6:$A$35,B120)&lt;&gt;1,"问题编号缺失或重复",IF(COUNTIF('评论证据'!$D$6:$D$205,C120)=0,"评论编号缺失",IF(COUNTIFS($B$6:B120,B120,$C$6:C120,C120,$D$6:D120,D120)&gt;1,"重复关联不重复计数",""))))</x:f>
      </x:c>
    </x:row>
    <x:row r="121" ht="36" customHeight="1">
      <x:c r="A121" s="11"/>
      <x:c r="B121" s="11"/>
      <x:c r="C121" s="11"/>
      <x:c r="D121" s="11"/>
      <x:c r="E121" s="11"/>
      <x:c r="F121" s="16" t="str">
        <x:f>IF(A121="","",IF(COUNTIF('评论证据'!$AA$6:$AA$205,C121)=0,"缺可定位研究评论",INDEX('评论证据'!$E$6:$E$205,MATCH(C121,'评论证据'!$AA$6:$AA$205,0))))</x:f>
      </x:c>
      <x:c r="G121" s="16" t="str">
        <x:f>IF(A121="","",IF(AND(B121&lt;&gt;"",C121&lt;&gt;"",D121="支持",COUNTIF('问题归类'!$A$6:$A$35,B121)=1,COUNTIFS('评论证据'!$D$6:$D$205,C121,'评论证据'!$T$6:$T$205,1,'评论证据'!$C$6:$C$205,"研究")&gt;0,COUNTIFS($B$6:B121,B121,$C$6:C121,C121,$D$6:D121,"支持")=1),IF(INDEX('问题归类'!$G$6:$G$35,MATCH(B121,'问题归类'!$A$6:$A$35,0))="有效",1,0),0))</x:f>
      </x:c>
      <x:c r="H121" s="16" t="str">
        <x:f>IF(A121="","",IF(G121=1,IF(COUNTIFS($B$6:B121,B121,$F$6:F121,F121,$G$6:G121,1)=1,1,0),0))</x:f>
      </x:c>
      <x:c r="I121" s="16" t="str">
        <x:f>IF(A121="","",IF(AND(D121="反例",COUNTIF('问题归类'!$A$6:$A$35,B121)=1,COUNTIF('评论证据'!$AA$6:$AA$205,C121)&gt;0,COUNTIFS($B$6:B121,B121,$C$6:C121,C121,$D$6:D121,"反例")=1),1,0))</x:f>
      </x:c>
      <x:c r="J121" s="16" t="str">
        <x:f>IF(A121="","",IF(COUNTIF('问题归类'!$A$6:$A$35,B121)&lt;&gt;1,"问题编号缺失或重复",IF(COUNTIF('评论证据'!$D$6:$D$205,C121)=0,"评论编号缺失",IF(COUNTIFS($B$6:B121,B121,$C$6:C121,C121,$D$6:D121,D121)&gt;1,"重复关联不重复计数",""))))</x:f>
      </x:c>
    </x:row>
    <x:row r="122" ht="36" customHeight="1">
      <x:c r="A122" s="11"/>
      <x:c r="B122" s="11"/>
      <x:c r="C122" s="11"/>
      <x:c r="D122" s="11"/>
      <x:c r="E122" s="11"/>
      <x:c r="F122" s="16" t="str">
        <x:f>IF(A122="","",IF(COUNTIF('评论证据'!$AA$6:$AA$205,C122)=0,"缺可定位研究评论",INDEX('评论证据'!$E$6:$E$205,MATCH(C122,'评论证据'!$AA$6:$AA$205,0))))</x:f>
      </x:c>
      <x:c r="G122" s="16" t="str">
        <x:f>IF(A122="","",IF(AND(B122&lt;&gt;"",C122&lt;&gt;"",D122="支持",COUNTIF('问题归类'!$A$6:$A$35,B122)=1,COUNTIFS('评论证据'!$D$6:$D$205,C122,'评论证据'!$T$6:$T$205,1,'评论证据'!$C$6:$C$205,"研究")&gt;0,COUNTIFS($B$6:B122,B122,$C$6:C122,C122,$D$6:D122,"支持")=1),IF(INDEX('问题归类'!$G$6:$G$35,MATCH(B122,'问题归类'!$A$6:$A$35,0))="有效",1,0),0))</x:f>
      </x:c>
      <x:c r="H122" s="16" t="str">
        <x:f>IF(A122="","",IF(G122=1,IF(COUNTIFS($B$6:B122,B122,$F$6:F122,F122,$G$6:G122,1)=1,1,0),0))</x:f>
      </x:c>
      <x:c r="I122" s="16" t="str">
        <x:f>IF(A122="","",IF(AND(D122="反例",COUNTIF('问题归类'!$A$6:$A$35,B122)=1,COUNTIF('评论证据'!$AA$6:$AA$205,C122)&gt;0,COUNTIFS($B$6:B122,B122,$C$6:C122,C122,$D$6:D122,"反例")=1),1,0))</x:f>
      </x:c>
      <x:c r="J122" s="16" t="str">
        <x:f>IF(A122="","",IF(COUNTIF('问题归类'!$A$6:$A$35,B122)&lt;&gt;1,"问题编号缺失或重复",IF(COUNTIF('评论证据'!$D$6:$D$205,C122)=0,"评论编号缺失",IF(COUNTIFS($B$6:B122,B122,$C$6:C122,C122,$D$6:D122,D122)&gt;1,"重复关联不重复计数",""))))</x:f>
      </x:c>
    </x:row>
    <x:row r="123" ht="36" customHeight="1">
      <x:c r="A123" s="11"/>
      <x:c r="B123" s="11"/>
      <x:c r="C123" s="11"/>
      <x:c r="D123" s="11"/>
      <x:c r="E123" s="11"/>
      <x:c r="F123" s="16" t="str">
        <x:f>IF(A123="","",IF(COUNTIF('评论证据'!$AA$6:$AA$205,C123)=0,"缺可定位研究评论",INDEX('评论证据'!$E$6:$E$205,MATCH(C123,'评论证据'!$AA$6:$AA$205,0))))</x:f>
      </x:c>
      <x:c r="G123" s="16" t="str">
        <x:f>IF(A123="","",IF(AND(B123&lt;&gt;"",C123&lt;&gt;"",D123="支持",COUNTIF('问题归类'!$A$6:$A$35,B123)=1,COUNTIFS('评论证据'!$D$6:$D$205,C123,'评论证据'!$T$6:$T$205,1,'评论证据'!$C$6:$C$205,"研究")&gt;0,COUNTIFS($B$6:B123,B123,$C$6:C123,C123,$D$6:D123,"支持")=1),IF(INDEX('问题归类'!$G$6:$G$35,MATCH(B123,'问题归类'!$A$6:$A$35,0))="有效",1,0),0))</x:f>
      </x:c>
      <x:c r="H123" s="16" t="str">
        <x:f>IF(A123="","",IF(G123=1,IF(COUNTIFS($B$6:B123,B123,$F$6:F123,F123,$G$6:G123,1)=1,1,0),0))</x:f>
      </x:c>
      <x:c r="I123" s="16" t="str">
        <x:f>IF(A123="","",IF(AND(D123="反例",COUNTIF('问题归类'!$A$6:$A$35,B123)=1,COUNTIF('评论证据'!$AA$6:$AA$205,C123)&gt;0,COUNTIFS($B$6:B123,B123,$C$6:C123,C123,$D$6:D123,"反例")=1),1,0))</x:f>
      </x:c>
      <x:c r="J123" s="16" t="str">
        <x:f>IF(A123="","",IF(COUNTIF('问题归类'!$A$6:$A$35,B123)&lt;&gt;1,"问题编号缺失或重复",IF(COUNTIF('评论证据'!$D$6:$D$205,C123)=0,"评论编号缺失",IF(COUNTIFS($B$6:B123,B123,$C$6:C123,C123,$D$6:D123,D123)&gt;1,"重复关联不重复计数",""))))</x:f>
      </x:c>
    </x:row>
    <x:row r="124" ht="36" customHeight="1">
      <x:c r="A124" s="11"/>
      <x:c r="B124" s="11"/>
      <x:c r="C124" s="11"/>
      <x:c r="D124" s="11"/>
      <x:c r="E124" s="11"/>
      <x:c r="F124" s="16" t="str">
        <x:f>IF(A124="","",IF(COUNTIF('评论证据'!$AA$6:$AA$205,C124)=0,"缺可定位研究评论",INDEX('评论证据'!$E$6:$E$205,MATCH(C124,'评论证据'!$AA$6:$AA$205,0))))</x:f>
      </x:c>
      <x:c r="G124" s="16" t="str">
        <x:f>IF(A124="","",IF(AND(B124&lt;&gt;"",C124&lt;&gt;"",D124="支持",COUNTIF('问题归类'!$A$6:$A$35,B124)=1,COUNTIFS('评论证据'!$D$6:$D$205,C124,'评论证据'!$T$6:$T$205,1,'评论证据'!$C$6:$C$205,"研究")&gt;0,COUNTIFS($B$6:B124,B124,$C$6:C124,C124,$D$6:D124,"支持")=1),IF(INDEX('问题归类'!$G$6:$G$35,MATCH(B124,'问题归类'!$A$6:$A$35,0))="有效",1,0),0))</x:f>
      </x:c>
      <x:c r="H124" s="16" t="str">
        <x:f>IF(A124="","",IF(G124=1,IF(COUNTIFS($B$6:B124,B124,$F$6:F124,F124,$G$6:G124,1)=1,1,0),0))</x:f>
      </x:c>
      <x:c r="I124" s="16" t="str">
        <x:f>IF(A124="","",IF(AND(D124="反例",COUNTIF('问题归类'!$A$6:$A$35,B124)=1,COUNTIF('评论证据'!$AA$6:$AA$205,C124)&gt;0,COUNTIFS($B$6:B124,B124,$C$6:C124,C124,$D$6:D124,"反例")=1),1,0))</x:f>
      </x:c>
      <x:c r="J124" s="16" t="str">
        <x:f>IF(A124="","",IF(COUNTIF('问题归类'!$A$6:$A$35,B124)&lt;&gt;1,"问题编号缺失或重复",IF(COUNTIF('评论证据'!$D$6:$D$205,C124)=0,"评论编号缺失",IF(COUNTIFS($B$6:B124,B124,$C$6:C124,C124,$D$6:D124,D124)&gt;1,"重复关联不重复计数",""))))</x:f>
      </x:c>
    </x:row>
    <x:row r="125" ht="36" customHeight="1">
      <x:c r="A125" s="11"/>
      <x:c r="B125" s="11"/>
      <x:c r="C125" s="11"/>
      <x:c r="D125" s="11"/>
      <x:c r="E125" s="11"/>
      <x:c r="F125" s="16" t="str">
        <x:f>IF(A125="","",IF(COUNTIF('评论证据'!$AA$6:$AA$205,C125)=0,"缺可定位研究评论",INDEX('评论证据'!$E$6:$E$205,MATCH(C125,'评论证据'!$AA$6:$AA$205,0))))</x:f>
      </x:c>
      <x:c r="G125" s="16" t="str">
        <x:f>IF(A125="","",IF(AND(B125&lt;&gt;"",C125&lt;&gt;"",D125="支持",COUNTIF('问题归类'!$A$6:$A$35,B125)=1,COUNTIFS('评论证据'!$D$6:$D$205,C125,'评论证据'!$T$6:$T$205,1,'评论证据'!$C$6:$C$205,"研究")&gt;0,COUNTIFS($B$6:B125,B125,$C$6:C125,C125,$D$6:D125,"支持")=1),IF(INDEX('问题归类'!$G$6:$G$35,MATCH(B125,'问题归类'!$A$6:$A$35,0))="有效",1,0),0))</x:f>
      </x:c>
      <x:c r="H125" s="16" t="str">
        <x:f>IF(A125="","",IF(G125=1,IF(COUNTIFS($B$6:B125,B125,$F$6:F125,F125,$G$6:G125,1)=1,1,0),0))</x:f>
      </x:c>
      <x:c r="I125" s="16" t="str">
        <x:f>IF(A125="","",IF(AND(D125="反例",COUNTIF('问题归类'!$A$6:$A$35,B125)=1,COUNTIF('评论证据'!$AA$6:$AA$205,C125)&gt;0,COUNTIFS($B$6:B125,B125,$C$6:C125,C125,$D$6:D125,"反例")=1),1,0))</x:f>
      </x:c>
      <x:c r="J125" s="16" t="str">
        <x:f>IF(A125="","",IF(COUNTIF('问题归类'!$A$6:$A$35,B125)&lt;&gt;1,"问题编号缺失或重复",IF(COUNTIF('评论证据'!$D$6:$D$205,C125)=0,"评论编号缺失",IF(COUNTIFS($B$6:B125,B125,$C$6:C125,C125,$D$6:D125,D125)&gt;1,"重复关联不重复计数",""))))</x:f>
      </x:c>
    </x:row>
    <x:row r="126" ht="36" customHeight="1">
      <x:c r="A126" s="11"/>
      <x:c r="B126" s="11"/>
      <x:c r="C126" s="11"/>
      <x:c r="D126" s="11"/>
      <x:c r="E126" s="11"/>
      <x:c r="F126" s="16" t="str">
        <x:f>IF(A126="","",IF(COUNTIF('评论证据'!$AA$6:$AA$205,C126)=0,"缺可定位研究评论",INDEX('评论证据'!$E$6:$E$205,MATCH(C126,'评论证据'!$AA$6:$AA$205,0))))</x:f>
      </x:c>
      <x:c r="G126" s="16" t="str">
        <x:f>IF(A126="","",IF(AND(B126&lt;&gt;"",C126&lt;&gt;"",D126="支持",COUNTIF('问题归类'!$A$6:$A$35,B126)=1,COUNTIFS('评论证据'!$D$6:$D$205,C126,'评论证据'!$T$6:$T$205,1,'评论证据'!$C$6:$C$205,"研究")&gt;0,COUNTIFS($B$6:B126,B126,$C$6:C126,C126,$D$6:D126,"支持")=1),IF(INDEX('问题归类'!$G$6:$G$35,MATCH(B126,'问题归类'!$A$6:$A$35,0))="有效",1,0),0))</x:f>
      </x:c>
      <x:c r="H126" s="16" t="str">
        <x:f>IF(A126="","",IF(G126=1,IF(COUNTIFS($B$6:B126,B126,$F$6:F126,F126,$G$6:G126,1)=1,1,0),0))</x:f>
      </x:c>
      <x:c r="I126" s="16" t="str">
        <x:f>IF(A126="","",IF(AND(D126="反例",COUNTIF('问题归类'!$A$6:$A$35,B126)=1,COUNTIF('评论证据'!$AA$6:$AA$205,C126)&gt;0,COUNTIFS($B$6:B126,B126,$C$6:C126,C126,$D$6:D126,"反例")=1),1,0))</x:f>
      </x:c>
      <x:c r="J126" s="16" t="str">
        <x:f>IF(A126="","",IF(COUNTIF('问题归类'!$A$6:$A$35,B126)&lt;&gt;1,"问题编号缺失或重复",IF(COUNTIF('评论证据'!$D$6:$D$205,C126)=0,"评论编号缺失",IF(COUNTIFS($B$6:B126,B126,$C$6:C126,C126,$D$6:D126,D126)&gt;1,"重复关联不重复计数",""))))</x:f>
      </x:c>
    </x:row>
    <x:row r="127" ht="36" customHeight="1">
      <x:c r="A127" s="11"/>
      <x:c r="B127" s="11"/>
      <x:c r="C127" s="11"/>
      <x:c r="D127" s="11"/>
      <x:c r="E127" s="11"/>
      <x:c r="F127" s="16" t="str">
        <x:f>IF(A127="","",IF(COUNTIF('评论证据'!$AA$6:$AA$205,C127)=0,"缺可定位研究评论",INDEX('评论证据'!$E$6:$E$205,MATCH(C127,'评论证据'!$AA$6:$AA$205,0))))</x:f>
      </x:c>
      <x:c r="G127" s="16" t="str">
        <x:f>IF(A127="","",IF(AND(B127&lt;&gt;"",C127&lt;&gt;"",D127="支持",COUNTIF('问题归类'!$A$6:$A$35,B127)=1,COUNTIFS('评论证据'!$D$6:$D$205,C127,'评论证据'!$T$6:$T$205,1,'评论证据'!$C$6:$C$205,"研究")&gt;0,COUNTIFS($B$6:B127,B127,$C$6:C127,C127,$D$6:D127,"支持")=1),IF(INDEX('问题归类'!$G$6:$G$35,MATCH(B127,'问题归类'!$A$6:$A$35,0))="有效",1,0),0))</x:f>
      </x:c>
      <x:c r="H127" s="16" t="str">
        <x:f>IF(A127="","",IF(G127=1,IF(COUNTIFS($B$6:B127,B127,$F$6:F127,F127,$G$6:G127,1)=1,1,0),0))</x:f>
      </x:c>
      <x:c r="I127" s="16" t="str">
        <x:f>IF(A127="","",IF(AND(D127="反例",COUNTIF('问题归类'!$A$6:$A$35,B127)=1,COUNTIF('评论证据'!$AA$6:$AA$205,C127)&gt;0,COUNTIFS($B$6:B127,B127,$C$6:C127,C127,$D$6:D127,"反例")=1),1,0))</x:f>
      </x:c>
      <x:c r="J127" s="16" t="str">
        <x:f>IF(A127="","",IF(COUNTIF('问题归类'!$A$6:$A$35,B127)&lt;&gt;1,"问题编号缺失或重复",IF(COUNTIF('评论证据'!$D$6:$D$205,C127)=0,"评论编号缺失",IF(COUNTIFS($B$6:B127,B127,$C$6:C127,C127,$D$6:D127,D127)&gt;1,"重复关联不重复计数",""))))</x:f>
      </x:c>
    </x:row>
    <x:row r="128" ht="36" customHeight="1">
      <x:c r="A128" s="11"/>
      <x:c r="B128" s="11"/>
      <x:c r="C128" s="11"/>
      <x:c r="D128" s="11"/>
      <x:c r="E128" s="11"/>
      <x:c r="F128" s="16" t="str">
        <x:f>IF(A128="","",IF(COUNTIF('评论证据'!$AA$6:$AA$205,C128)=0,"缺可定位研究评论",INDEX('评论证据'!$E$6:$E$205,MATCH(C128,'评论证据'!$AA$6:$AA$205,0))))</x:f>
      </x:c>
      <x:c r="G128" s="16" t="str">
        <x:f>IF(A128="","",IF(AND(B128&lt;&gt;"",C128&lt;&gt;"",D128="支持",COUNTIF('问题归类'!$A$6:$A$35,B128)=1,COUNTIFS('评论证据'!$D$6:$D$205,C128,'评论证据'!$T$6:$T$205,1,'评论证据'!$C$6:$C$205,"研究")&gt;0,COUNTIFS($B$6:B128,B128,$C$6:C128,C128,$D$6:D128,"支持")=1),IF(INDEX('问题归类'!$G$6:$G$35,MATCH(B128,'问题归类'!$A$6:$A$35,0))="有效",1,0),0))</x:f>
      </x:c>
      <x:c r="H128" s="16" t="str">
        <x:f>IF(A128="","",IF(G128=1,IF(COUNTIFS($B$6:B128,B128,$F$6:F128,F128,$G$6:G128,1)=1,1,0),0))</x:f>
      </x:c>
      <x:c r="I128" s="16" t="str">
        <x:f>IF(A128="","",IF(AND(D128="反例",COUNTIF('问题归类'!$A$6:$A$35,B128)=1,COUNTIF('评论证据'!$AA$6:$AA$205,C128)&gt;0,COUNTIFS($B$6:B128,B128,$C$6:C128,C128,$D$6:D128,"反例")=1),1,0))</x:f>
      </x:c>
      <x:c r="J128" s="16" t="str">
        <x:f>IF(A128="","",IF(COUNTIF('问题归类'!$A$6:$A$35,B128)&lt;&gt;1,"问题编号缺失或重复",IF(COUNTIF('评论证据'!$D$6:$D$205,C128)=0,"评论编号缺失",IF(COUNTIFS($B$6:B128,B128,$C$6:C128,C128,$D$6:D128,D128)&gt;1,"重复关联不重复计数",""))))</x:f>
      </x:c>
    </x:row>
    <x:row r="129" ht="36" customHeight="1">
      <x:c r="A129" s="11"/>
      <x:c r="B129" s="11"/>
      <x:c r="C129" s="11"/>
      <x:c r="D129" s="11"/>
      <x:c r="E129" s="11"/>
      <x:c r="F129" s="16" t="str">
        <x:f>IF(A129="","",IF(COUNTIF('评论证据'!$AA$6:$AA$205,C129)=0,"缺可定位研究评论",INDEX('评论证据'!$E$6:$E$205,MATCH(C129,'评论证据'!$AA$6:$AA$205,0))))</x:f>
      </x:c>
      <x:c r="G129" s="16" t="str">
        <x:f>IF(A129="","",IF(AND(B129&lt;&gt;"",C129&lt;&gt;"",D129="支持",COUNTIF('问题归类'!$A$6:$A$35,B129)=1,COUNTIFS('评论证据'!$D$6:$D$205,C129,'评论证据'!$T$6:$T$205,1,'评论证据'!$C$6:$C$205,"研究")&gt;0,COUNTIFS($B$6:B129,B129,$C$6:C129,C129,$D$6:D129,"支持")=1),IF(INDEX('问题归类'!$G$6:$G$35,MATCH(B129,'问题归类'!$A$6:$A$35,0))="有效",1,0),0))</x:f>
      </x:c>
      <x:c r="H129" s="16" t="str">
        <x:f>IF(A129="","",IF(G129=1,IF(COUNTIFS($B$6:B129,B129,$F$6:F129,F129,$G$6:G129,1)=1,1,0),0))</x:f>
      </x:c>
      <x:c r="I129" s="16" t="str">
        <x:f>IF(A129="","",IF(AND(D129="反例",COUNTIF('问题归类'!$A$6:$A$35,B129)=1,COUNTIF('评论证据'!$AA$6:$AA$205,C129)&gt;0,COUNTIFS($B$6:B129,B129,$C$6:C129,C129,$D$6:D129,"反例")=1),1,0))</x:f>
      </x:c>
      <x:c r="J129" s="16" t="str">
        <x:f>IF(A129="","",IF(COUNTIF('问题归类'!$A$6:$A$35,B129)&lt;&gt;1,"问题编号缺失或重复",IF(COUNTIF('评论证据'!$D$6:$D$205,C129)=0,"评论编号缺失",IF(COUNTIFS($B$6:B129,B129,$C$6:C129,C129,$D$6:D129,D129)&gt;1,"重复关联不重复计数",""))))</x:f>
      </x:c>
    </x:row>
    <x:row r="130" ht="36" customHeight="1">
      <x:c r="A130" s="11"/>
      <x:c r="B130" s="11"/>
      <x:c r="C130" s="11"/>
      <x:c r="D130" s="11"/>
      <x:c r="E130" s="11"/>
      <x:c r="F130" s="16" t="str">
        <x:f>IF(A130="","",IF(COUNTIF('评论证据'!$AA$6:$AA$205,C130)=0,"缺可定位研究评论",INDEX('评论证据'!$E$6:$E$205,MATCH(C130,'评论证据'!$AA$6:$AA$205,0))))</x:f>
      </x:c>
      <x:c r="G130" s="16" t="str">
        <x:f>IF(A130="","",IF(AND(B130&lt;&gt;"",C130&lt;&gt;"",D130="支持",COUNTIF('问题归类'!$A$6:$A$35,B130)=1,COUNTIFS('评论证据'!$D$6:$D$205,C130,'评论证据'!$T$6:$T$205,1,'评论证据'!$C$6:$C$205,"研究")&gt;0,COUNTIFS($B$6:B130,B130,$C$6:C130,C130,$D$6:D130,"支持")=1),IF(INDEX('问题归类'!$G$6:$G$35,MATCH(B130,'问题归类'!$A$6:$A$35,0))="有效",1,0),0))</x:f>
      </x:c>
      <x:c r="H130" s="16" t="str">
        <x:f>IF(A130="","",IF(G130=1,IF(COUNTIFS($B$6:B130,B130,$F$6:F130,F130,$G$6:G130,1)=1,1,0),0))</x:f>
      </x:c>
      <x:c r="I130" s="16" t="str">
        <x:f>IF(A130="","",IF(AND(D130="反例",COUNTIF('问题归类'!$A$6:$A$35,B130)=1,COUNTIF('评论证据'!$AA$6:$AA$205,C130)&gt;0,COUNTIFS($B$6:B130,B130,$C$6:C130,C130,$D$6:D130,"反例")=1),1,0))</x:f>
      </x:c>
      <x:c r="J130" s="16" t="str">
        <x:f>IF(A130="","",IF(COUNTIF('问题归类'!$A$6:$A$35,B130)&lt;&gt;1,"问题编号缺失或重复",IF(COUNTIF('评论证据'!$D$6:$D$205,C130)=0,"评论编号缺失",IF(COUNTIFS($B$6:B130,B130,$C$6:C130,C130,$D$6:D130,D130)&gt;1,"重复关联不重复计数",""))))</x:f>
      </x:c>
    </x:row>
    <x:row r="131" ht="36" customHeight="1">
      <x:c r="A131" s="11"/>
      <x:c r="B131" s="11"/>
      <x:c r="C131" s="11"/>
      <x:c r="D131" s="11"/>
      <x:c r="E131" s="11"/>
      <x:c r="F131" s="16" t="str">
        <x:f>IF(A131="","",IF(COUNTIF('评论证据'!$AA$6:$AA$205,C131)=0,"缺可定位研究评论",INDEX('评论证据'!$E$6:$E$205,MATCH(C131,'评论证据'!$AA$6:$AA$205,0))))</x:f>
      </x:c>
      <x:c r="G131" s="16" t="str">
        <x:f>IF(A131="","",IF(AND(B131&lt;&gt;"",C131&lt;&gt;"",D131="支持",COUNTIF('问题归类'!$A$6:$A$35,B131)=1,COUNTIFS('评论证据'!$D$6:$D$205,C131,'评论证据'!$T$6:$T$205,1,'评论证据'!$C$6:$C$205,"研究")&gt;0,COUNTIFS($B$6:B131,B131,$C$6:C131,C131,$D$6:D131,"支持")=1),IF(INDEX('问题归类'!$G$6:$G$35,MATCH(B131,'问题归类'!$A$6:$A$35,0))="有效",1,0),0))</x:f>
      </x:c>
      <x:c r="H131" s="16" t="str">
        <x:f>IF(A131="","",IF(G131=1,IF(COUNTIFS($B$6:B131,B131,$F$6:F131,F131,$G$6:G131,1)=1,1,0),0))</x:f>
      </x:c>
      <x:c r="I131" s="16" t="str">
        <x:f>IF(A131="","",IF(AND(D131="反例",COUNTIF('问题归类'!$A$6:$A$35,B131)=1,COUNTIF('评论证据'!$AA$6:$AA$205,C131)&gt;0,COUNTIFS($B$6:B131,B131,$C$6:C131,C131,$D$6:D131,"反例")=1),1,0))</x:f>
      </x:c>
      <x:c r="J131" s="16" t="str">
        <x:f>IF(A131="","",IF(COUNTIF('问题归类'!$A$6:$A$35,B131)&lt;&gt;1,"问题编号缺失或重复",IF(COUNTIF('评论证据'!$D$6:$D$205,C131)=0,"评论编号缺失",IF(COUNTIFS($B$6:B131,B131,$C$6:C131,C131,$D$6:D131,D131)&gt;1,"重复关联不重复计数",""))))</x:f>
      </x:c>
    </x:row>
    <x:row r="132" ht="36" customHeight="1">
      <x:c r="A132" s="11"/>
      <x:c r="B132" s="11"/>
      <x:c r="C132" s="11"/>
      <x:c r="D132" s="11"/>
      <x:c r="E132" s="11"/>
      <x:c r="F132" s="16" t="str">
        <x:f>IF(A132="","",IF(COUNTIF('评论证据'!$AA$6:$AA$205,C132)=0,"缺可定位研究评论",INDEX('评论证据'!$E$6:$E$205,MATCH(C132,'评论证据'!$AA$6:$AA$205,0))))</x:f>
      </x:c>
      <x:c r="G132" s="16" t="str">
        <x:f>IF(A132="","",IF(AND(B132&lt;&gt;"",C132&lt;&gt;"",D132="支持",COUNTIF('问题归类'!$A$6:$A$35,B132)=1,COUNTIFS('评论证据'!$D$6:$D$205,C132,'评论证据'!$T$6:$T$205,1,'评论证据'!$C$6:$C$205,"研究")&gt;0,COUNTIFS($B$6:B132,B132,$C$6:C132,C132,$D$6:D132,"支持")=1),IF(INDEX('问题归类'!$G$6:$G$35,MATCH(B132,'问题归类'!$A$6:$A$35,0))="有效",1,0),0))</x:f>
      </x:c>
      <x:c r="H132" s="16" t="str">
        <x:f>IF(A132="","",IF(G132=1,IF(COUNTIFS($B$6:B132,B132,$F$6:F132,F132,$G$6:G132,1)=1,1,0),0))</x:f>
      </x:c>
      <x:c r="I132" s="16" t="str">
        <x:f>IF(A132="","",IF(AND(D132="反例",COUNTIF('问题归类'!$A$6:$A$35,B132)=1,COUNTIF('评论证据'!$AA$6:$AA$205,C132)&gt;0,COUNTIFS($B$6:B132,B132,$C$6:C132,C132,$D$6:D132,"反例")=1),1,0))</x:f>
      </x:c>
      <x:c r="J132" s="16" t="str">
        <x:f>IF(A132="","",IF(COUNTIF('问题归类'!$A$6:$A$35,B132)&lt;&gt;1,"问题编号缺失或重复",IF(COUNTIF('评论证据'!$D$6:$D$205,C132)=0,"评论编号缺失",IF(COUNTIFS($B$6:B132,B132,$C$6:C132,C132,$D$6:D132,D132)&gt;1,"重复关联不重复计数",""))))</x:f>
      </x:c>
    </x:row>
    <x:row r="133" ht="36" customHeight="1">
      <x:c r="A133" s="11"/>
      <x:c r="B133" s="11"/>
      <x:c r="C133" s="11"/>
      <x:c r="D133" s="11"/>
      <x:c r="E133" s="11"/>
      <x:c r="F133" s="16" t="str">
        <x:f>IF(A133="","",IF(COUNTIF('评论证据'!$AA$6:$AA$205,C133)=0,"缺可定位研究评论",INDEX('评论证据'!$E$6:$E$205,MATCH(C133,'评论证据'!$AA$6:$AA$205,0))))</x:f>
      </x:c>
      <x:c r="G133" s="16" t="str">
        <x:f>IF(A133="","",IF(AND(B133&lt;&gt;"",C133&lt;&gt;"",D133="支持",COUNTIF('问题归类'!$A$6:$A$35,B133)=1,COUNTIFS('评论证据'!$D$6:$D$205,C133,'评论证据'!$T$6:$T$205,1,'评论证据'!$C$6:$C$205,"研究")&gt;0,COUNTIFS($B$6:B133,B133,$C$6:C133,C133,$D$6:D133,"支持")=1),IF(INDEX('问题归类'!$G$6:$G$35,MATCH(B133,'问题归类'!$A$6:$A$35,0))="有效",1,0),0))</x:f>
      </x:c>
      <x:c r="H133" s="16" t="str">
        <x:f>IF(A133="","",IF(G133=1,IF(COUNTIFS($B$6:B133,B133,$F$6:F133,F133,$G$6:G133,1)=1,1,0),0))</x:f>
      </x:c>
      <x:c r="I133" s="16" t="str">
        <x:f>IF(A133="","",IF(AND(D133="反例",COUNTIF('问题归类'!$A$6:$A$35,B133)=1,COUNTIF('评论证据'!$AA$6:$AA$205,C133)&gt;0,COUNTIFS($B$6:B133,B133,$C$6:C133,C133,$D$6:D133,"反例")=1),1,0))</x:f>
      </x:c>
      <x:c r="J133" s="16" t="str">
        <x:f>IF(A133="","",IF(COUNTIF('问题归类'!$A$6:$A$35,B133)&lt;&gt;1,"问题编号缺失或重复",IF(COUNTIF('评论证据'!$D$6:$D$205,C133)=0,"评论编号缺失",IF(COUNTIFS($B$6:B133,B133,$C$6:C133,C133,$D$6:D133,D133)&gt;1,"重复关联不重复计数",""))))</x:f>
      </x:c>
    </x:row>
    <x:row r="134" ht="36" customHeight="1">
      <x:c r="A134" s="11"/>
      <x:c r="B134" s="11"/>
      <x:c r="C134" s="11"/>
      <x:c r="D134" s="11"/>
      <x:c r="E134" s="11"/>
      <x:c r="F134" s="16" t="str">
        <x:f>IF(A134="","",IF(COUNTIF('评论证据'!$AA$6:$AA$205,C134)=0,"缺可定位研究评论",INDEX('评论证据'!$E$6:$E$205,MATCH(C134,'评论证据'!$AA$6:$AA$205,0))))</x:f>
      </x:c>
      <x:c r="G134" s="16" t="str">
        <x:f>IF(A134="","",IF(AND(B134&lt;&gt;"",C134&lt;&gt;"",D134="支持",COUNTIF('问题归类'!$A$6:$A$35,B134)=1,COUNTIFS('评论证据'!$D$6:$D$205,C134,'评论证据'!$T$6:$T$205,1,'评论证据'!$C$6:$C$205,"研究")&gt;0,COUNTIFS($B$6:B134,B134,$C$6:C134,C134,$D$6:D134,"支持")=1),IF(INDEX('问题归类'!$G$6:$G$35,MATCH(B134,'问题归类'!$A$6:$A$35,0))="有效",1,0),0))</x:f>
      </x:c>
      <x:c r="H134" s="16" t="str">
        <x:f>IF(A134="","",IF(G134=1,IF(COUNTIFS($B$6:B134,B134,$F$6:F134,F134,$G$6:G134,1)=1,1,0),0))</x:f>
      </x:c>
      <x:c r="I134" s="16" t="str">
        <x:f>IF(A134="","",IF(AND(D134="反例",COUNTIF('问题归类'!$A$6:$A$35,B134)=1,COUNTIF('评论证据'!$AA$6:$AA$205,C134)&gt;0,COUNTIFS($B$6:B134,B134,$C$6:C134,C134,$D$6:D134,"反例")=1),1,0))</x:f>
      </x:c>
      <x:c r="J134" s="16" t="str">
        <x:f>IF(A134="","",IF(COUNTIF('问题归类'!$A$6:$A$35,B134)&lt;&gt;1,"问题编号缺失或重复",IF(COUNTIF('评论证据'!$D$6:$D$205,C134)=0,"评论编号缺失",IF(COUNTIFS($B$6:B134,B134,$C$6:C134,C134,$D$6:D134,D134)&gt;1,"重复关联不重复计数",""))))</x:f>
      </x:c>
    </x:row>
    <x:row r="135" ht="36" customHeight="1">
      <x:c r="A135" s="11"/>
      <x:c r="B135" s="11"/>
      <x:c r="C135" s="11"/>
      <x:c r="D135" s="11"/>
      <x:c r="E135" s="11"/>
      <x:c r="F135" s="16" t="str">
        <x:f>IF(A135="","",IF(COUNTIF('评论证据'!$AA$6:$AA$205,C135)=0,"缺可定位研究评论",INDEX('评论证据'!$E$6:$E$205,MATCH(C135,'评论证据'!$AA$6:$AA$205,0))))</x:f>
      </x:c>
      <x:c r="G135" s="16" t="str">
        <x:f>IF(A135="","",IF(AND(B135&lt;&gt;"",C135&lt;&gt;"",D135="支持",COUNTIF('问题归类'!$A$6:$A$35,B135)=1,COUNTIFS('评论证据'!$D$6:$D$205,C135,'评论证据'!$T$6:$T$205,1,'评论证据'!$C$6:$C$205,"研究")&gt;0,COUNTIFS($B$6:B135,B135,$C$6:C135,C135,$D$6:D135,"支持")=1),IF(INDEX('问题归类'!$G$6:$G$35,MATCH(B135,'问题归类'!$A$6:$A$35,0))="有效",1,0),0))</x:f>
      </x:c>
      <x:c r="H135" s="16" t="str">
        <x:f>IF(A135="","",IF(G135=1,IF(COUNTIFS($B$6:B135,B135,$F$6:F135,F135,$G$6:G135,1)=1,1,0),0))</x:f>
      </x:c>
      <x:c r="I135" s="16" t="str">
        <x:f>IF(A135="","",IF(AND(D135="反例",COUNTIF('问题归类'!$A$6:$A$35,B135)=1,COUNTIF('评论证据'!$AA$6:$AA$205,C135)&gt;0,COUNTIFS($B$6:B135,B135,$C$6:C135,C135,$D$6:D135,"反例")=1),1,0))</x:f>
      </x:c>
      <x:c r="J135" s="16" t="str">
        <x:f>IF(A135="","",IF(COUNTIF('问题归类'!$A$6:$A$35,B135)&lt;&gt;1,"问题编号缺失或重复",IF(COUNTIF('评论证据'!$D$6:$D$205,C135)=0,"评论编号缺失",IF(COUNTIFS($B$6:B135,B135,$C$6:C135,C135,$D$6:D135,D135)&gt;1,"重复关联不重复计数",""))))</x:f>
      </x:c>
    </x:row>
    <x:row r="136" ht="36" customHeight="1">
      <x:c r="A136" s="11"/>
      <x:c r="B136" s="11"/>
      <x:c r="C136" s="11"/>
      <x:c r="D136" s="11"/>
      <x:c r="E136" s="11"/>
      <x:c r="F136" s="16" t="str">
        <x:f>IF(A136="","",IF(COUNTIF('评论证据'!$AA$6:$AA$205,C136)=0,"缺可定位研究评论",INDEX('评论证据'!$E$6:$E$205,MATCH(C136,'评论证据'!$AA$6:$AA$205,0))))</x:f>
      </x:c>
      <x:c r="G136" s="16" t="str">
        <x:f>IF(A136="","",IF(AND(B136&lt;&gt;"",C136&lt;&gt;"",D136="支持",COUNTIF('问题归类'!$A$6:$A$35,B136)=1,COUNTIFS('评论证据'!$D$6:$D$205,C136,'评论证据'!$T$6:$T$205,1,'评论证据'!$C$6:$C$205,"研究")&gt;0,COUNTIFS($B$6:B136,B136,$C$6:C136,C136,$D$6:D136,"支持")=1),IF(INDEX('问题归类'!$G$6:$G$35,MATCH(B136,'问题归类'!$A$6:$A$35,0))="有效",1,0),0))</x:f>
      </x:c>
      <x:c r="H136" s="16" t="str">
        <x:f>IF(A136="","",IF(G136=1,IF(COUNTIFS($B$6:B136,B136,$F$6:F136,F136,$G$6:G136,1)=1,1,0),0))</x:f>
      </x:c>
      <x:c r="I136" s="16" t="str">
        <x:f>IF(A136="","",IF(AND(D136="反例",COUNTIF('问题归类'!$A$6:$A$35,B136)=1,COUNTIF('评论证据'!$AA$6:$AA$205,C136)&gt;0,COUNTIFS($B$6:B136,B136,$C$6:C136,C136,$D$6:D136,"反例")=1),1,0))</x:f>
      </x:c>
      <x:c r="J136" s="16" t="str">
        <x:f>IF(A136="","",IF(COUNTIF('问题归类'!$A$6:$A$35,B136)&lt;&gt;1,"问题编号缺失或重复",IF(COUNTIF('评论证据'!$D$6:$D$205,C136)=0,"评论编号缺失",IF(COUNTIFS($B$6:B136,B136,$C$6:C136,C136,$D$6:D136,D136)&gt;1,"重复关联不重复计数",""))))</x:f>
      </x:c>
    </x:row>
    <x:row r="137" ht="36" customHeight="1">
      <x:c r="A137" s="11"/>
      <x:c r="B137" s="11"/>
      <x:c r="C137" s="11"/>
      <x:c r="D137" s="11"/>
      <x:c r="E137" s="11"/>
      <x:c r="F137" s="16" t="str">
        <x:f>IF(A137="","",IF(COUNTIF('评论证据'!$AA$6:$AA$205,C137)=0,"缺可定位研究评论",INDEX('评论证据'!$E$6:$E$205,MATCH(C137,'评论证据'!$AA$6:$AA$205,0))))</x:f>
      </x:c>
      <x:c r="G137" s="16" t="str">
        <x:f>IF(A137="","",IF(AND(B137&lt;&gt;"",C137&lt;&gt;"",D137="支持",COUNTIF('问题归类'!$A$6:$A$35,B137)=1,COUNTIFS('评论证据'!$D$6:$D$205,C137,'评论证据'!$T$6:$T$205,1,'评论证据'!$C$6:$C$205,"研究")&gt;0,COUNTIFS($B$6:B137,B137,$C$6:C137,C137,$D$6:D137,"支持")=1),IF(INDEX('问题归类'!$G$6:$G$35,MATCH(B137,'问题归类'!$A$6:$A$35,0))="有效",1,0),0))</x:f>
      </x:c>
      <x:c r="H137" s="16" t="str">
        <x:f>IF(A137="","",IF(G137=1,IF(COUNTIFS($B$6:B137,B137,$F$6:F137,F137,$G$6:G137,1)=1,1,0),0))</x:f>
      </x:c>
      <x:c r="I137" s="16" t="str">
        <x:f>IF(A137="","",IF(AND(D137="反例",COUNTIF('问题归类'!$A$6:$A$35,B137)=1,COUNTIF('评论证据'!$AA$6:$AA$205,C137)&gt;0,COUNTIFS($B$6:B137,B137,$C$6:C137,C137,$D$6:D137,"反例")=1),1,0))</x:f>
      </x:c>
      <x:c r="J137" s="16" t="str">
        <x:f>IF(A137="","",IF(COUNTIF('问题归类'!$A$6:$A$35,B137)&lt;&gt;1,"问题编号缺失或重复",IF(COUNTIF('评论证据'!$D$6:$D$205,C137)=0,"评论编号缺失",IF(COUNTIFS($B$6:B137,B137,$C$6:C137,C137,$D$6:D137,D137)&gt;1,"重复关联不重复计数",""))))</x:f>
      </x:c>
    </x:row>
    <x:row r="138" ht="36" customHeight="1">
      <x:c r="A138" s="11"/>
      <x:c r="B138" s="11"/>
      <x:c r="C138" s="11"/>
      <x:c r="D138" s="11"/>
      <x:c r="E138" s="11"/>
      <x:c r="F138" s="16" t="str">
        <x:f>IF(A138="","",IF(COUNTIF('评论证据'!$AA$6:$AA$205,C138)=0,"缺可定位研究评论",INDEX('评论证据'!$E$6:$E$205,MATCH(C138,'评论证据'!$AA$6:$AA$205,0))))</x:f>
      </x:c>
      <x:c r="G138" s="16" t="str">
        <x:f>IF(A138="","",IF(AND(B138&lt;&gt;"",C138&lt;&gt;"",D138="支持",COUNTIF('问题归类'!$A$6:$A$35,B138)=1,COUNTIFS('评论证据'!$D$6:$D$205,C138,'评论证据'!$T$6:$T$205,1,'评论证据'!$C$6:$C$205,"研究")&gt;0,COUNTIFS($B$6:B138,B138,$C$6:C138,C138,$D$6:D138,"支持")=1),IF(INDEX('问题归类'!$G$6:$G$35,MATCH(B138,'问题归类'!$A$6:$A$35,0))="有效",1,0),0))</x:f>
      </x:c>
      <x:c r="H138" s="16" t="str">
        <x:f>IF(A138="","",IF(G138=1,IF(COUNTIFS($B$6:B138,B138,$F$6:F138,F138,$G$6:G138,1)=1,1,0),0))</x:f>
      </x:c>
      <x:c r="I138" s="16" t="str">
        <x:f>IF(A138="","",IF(AND(D138="反例",COUNTIF('问题归类'!$A$6:$A$35,B138)=1,COUNTIF('评论证据'!$AA$6:$AA$205,C138)&gt;0,COUNTIFS($B$6:B138,B138,$C$6:C138,C138,$D$6:D138,"反例")=1),1,0))</x:f>
      </x:c>
      <x:c r="J138" s="16" t="str">
        <x:f>IF(A138="","",IF(COUNTIF('问题归类'!$A$6:$A$35,B138)&lt;&gt;1,"问题编号缺失或重复",IF(COUNTIF('评论证据'!$D$6:$D$205,C138)=0,"评论编号缺失",IF(COUNTIFS($B$6:B138,B138,$C$6:C138,C138,$D$6:D138,D138)&gt;1,"重复关联不重复计数",""))))</x:f>
      </x:c>
    </x:row>
    <x:row r="139" ht="36" customHeight="1">
      <x:c r="A139" s="11"/>
      <x:c r="B139" s="11"/>
      <x:c r="C139" s="11"/>
      <x:c r="D139" s="11"/>
      <x:c r="E139" s="11"/>
      <x:c r="F139" s="16" t="str">
        <x:f>IF(A139="","",IF(COUNTIF('评论证据'!$AA$6:$AA$205,C139)=0,"缺可定位研究评论",INDEX('评论证据'!$E$6:$E$205,MATCH(C139,'评论证据'!$AA$6:$AA$205,0))))</x:f>
      </x:c>
      <x:c r="G139" s="16" t="str">
        <x:f>IF(A139="","",IF(AND(B139&lt;&gt;"",C139&lt;&gt;"",D139="支持",COUNTIF('问题归类'!$A$6:$A$35,B139)=1,COUNTIFS('评论证据'!$D$6:$D$205,C139,'评论证据'!$T$6:$T$205,1,'评论证据'!$C$6:$C$205,"研究")&gt;0,COUNTIFS($B$6:B139,B139,$C$6:C139,C139,$D$6:D139,"支持")=1),IF(INDEX('问题归类'!$G$6:$G$35,MATCH(B139,'问题归类'!$A$6:$A$35,0))="有效",1,0),0))</x:f>
      </x:c>
      <x:c r="H139" s="16" t="str">
        <x:f>IF(A139="","",IF(G139=1,IF(COUNTIFS($B$6:B139,B139,$F$6:F139,F139,$G$6:G139,1)=1,1,0),0))</x:f>
      </x:c>
      <x:c r="I139" s="16" t="str">
        <x:f>IF(A139="","",IF(AND(D139="反例",COUNTIF('问题归类'!$A$6:$A$35,B139)=1,COUNTIF('评论证据'!$AA$6:$AA$205,C139)&gt;0,COUNTIFS($B$6:B139,B139,$C$6:C139,C139,$D$6:D139,"反例")=1),1,0))</x:f>
      </x:c>
      <x:c r="J139" s="16" t="str">
        <x:f>IF(A139="","",IF(COUNTIF('问题归类'!$A$6:$A$35,B139)&lt;&gt;1,"问题编号缺失或重复",IF(COUNTIF('评论证据'!$D$6:$D$205,C139)=0,"评论编号缺失",IF(COUNTIFS($B$6:B139,B139,$C$6:C139,C139,$D$6:D139,D139)&gt;1,"重复关联不重复计数",""))))</x:f>
      </x:c>
    </x:row>
    <x:row r="140" ht="36" customHeight="1">
      <x:c r="A140" s="11"/>
      <x:c r="B140" s="11"/>
      <x:c r="C140" s="11"/>
      <x:c r="D140" s="11"/>
      <x:c r="E140" s="11"/>
      <x:c r="F140" s="16" t="str">
        <x:f>IF(A140="","",IF(COUNTIF('评论证据'!$AA$6:$AA$205,C140)=0,"缺可定位研究评论",INDEX('评论证据'!$E$6:$E$205,MATCH(C140,'评论证据'!$AA$6:$AA$205,0))))</x:f>
      </x:c>
      <x:c r="G140" s="16" t="str">
        <x:f>IF(A140="","",IF(AND(B140&lt;&gt;"",C140&lt;&gt;"",D140="支持",COUNTIF('问题归类'!$A$6:$A$35,B140)=1,COUNTIFS('评论证据'!$D$6:$D$205,C140,'评论证据'!$T$6:$T$205,1,'评论证据'!$C$6:$C$205,"研究")&gt;0,COUNTIFS($B$6:B140,B140,$C$6:C140,C140,$D$6:D140,"支持")=1),IF(INDEX('问题归类'!$G$6:$G$35,MATCH(B140,'问题归类'!$A$6:$A$35,0))="有效",1,0),0))</x:f>
      </x:c>
      <x:c r="H140" s="16" t="str">
        <x:f>IF(A140="","",IF(G140=1,IF(COUNTIFS($B$6:B140,B140,$F$6:F140,F140,$G$6:G140,1)=1,1,0),0))</x:f>
      </x:c>
      <x:c r="I140" s="16" t="str">
        <x:f>IF(A140="","",IF(AND(D140="反例",COUNTIF('问题归类'!$A$6:$A$35,B140)=1,COUNTIF('评论证据'!$AA$6:$AA$205,C140)&gt;0,COUNTIFS($B$6:B140,B140,$C$6:C140,C140,$D$6:D140,"反例")=1),1,0))</x:f>
      </x:c>
      <x:c r="J140" s="16" t="str">
        <x:f>IF(A140="","",IF(COUNTIF('问题归类'!$A$6:$A$35,B140)&lt;&gt;1,"问题编号缺失或重复",IF(COUNTIF('评论证据'!$D$6:$D$205,C140)=0,"评论编号缺失",IF(COUNTIFS($B$6:B140,B140,$C$6:C140,C140,$D$6:D140,D140)&gt;1,"重复关联不重复计数",""))))</x:f>
      </x:c>
    </x:row>
    <x:row r="141" ht="36" customHeight="1">
      <x:c r="A141" s="11"/>
      <x:c r="B141" s="11"/>
      <x:c r="C141" s="11"/>
      <x:c r="D141" s="11"/>
      <x:c r="E141" s="11"/>
      <x:c r="F141" s="16" t="str">
        <x:f>IF(A141="","",IF(COUNTIF('评论证据'!$AA$6:$AA$205,C141)=0,"缺可定位研究评论",INDEX('评论证据'!$E$6:$E$205,MATCH(C141,'评论证据'!$AA$6:$AA$205,0))))</x:f>
      </x:c>
      <x:c r="G141" s="16" t="str">
        <x:f>IF(A141="","",IF(AND(B141&lt;&gt;"",C141&lt;&gt;"",D141="支持",COUNTIF('问题归类'!$A$6:$A$35,B141)=1,COUNTIFS('评论证据'!$D$6:$D$205,C141,'评论证据'!$T$6:$T$205,1,'评论证据'!$C$6:$C$205,"研究")&gt;0,COUNTIFS($B$6:B141,B141,$C$6:C141,C141,$D$6:D141,"支持")=1),IF(INDEX('问题归类'!$G$6:$G$35,MATCH(B141,'问题归类'!$A$6:$A$35,0))="有效",1,0),0))</x:f>
      </x:c>
      <x:c r="H141" s="16" t="str">
        <x:f>IF(A141="","",IF(G141=1,IF(COUNTIFS($B$6:B141,B141,$F$6:F141,F141,$G$6:G141,1)=1,1,0),0))</x:f>
      </x:c>
      <x:c r="I141" s="16" t="str">
        <x:f>IF(A141="","",IF(AND(D141="反例",COUNTIF('问题归类'!$A$6:$A$35,B141)=1,COUNTIF('评论证据'!$AA$6:$AA$205,C141)&gt;0,COUNTIFS($B$6:B141,B141,$C$6:C141,C141,$D$6:D141,"反例")=1),1,0))</x:f>
      </x:c>
      <x:c r="J141" s="16" t="str">
        <x:f>IF(A141="","",IF(COUNTIF('问题归类'!$A$6:$A$35,B141)&lt;&gt;1,"问题编号缺失或重复",IF(COUNTIF('评论证据'!$D$6:$D$205,C141)=0,"评论编号缺失",IF(COUNTIFS($B$6:B141,B141,$C$6:C141,C141,$D$6:D141,D141)&gt;1,"重复关联不重复计数",""))))</x:f>
      </x:c>
    </x:row>
    <x:row r="142" ht="36" customHeight="1">
      <x:c r="A142" s="11"/>
      <x:c r="B142" s="11"/>
      <x:c r="C142" s="11"/>
      <x:c r="D142" s="11"/>
      <x:c r="E142" s="11"/>
      <x:c r="F142" s="16" t="str">
        <x:f>IF(A142="","",IF(COUNTIF('评论证据'!$AA$6:$AA$205,C142)=0,"缺可定位研究评论",INDEX('评论证据'!$E$6:$E$205,MATCH(C142,'评论证据'!$AA$6:$AA$205,0))))</x:f>
      </x:c>
      <x:c r="G142" s="16" t="str">
        <x:f>IF(A142="","",IF(AND(B142&lt;&gt;"",C142&lt;&gt;"",D142="支持",COUNTIF('问题归类'!$A$6:$A$35,B142)=1,COUNTIFS('评论证据'!$D$6:$D$205,C142,'评论证据'!$T$6:$T$205,1,'评论证据'!$C$6:$C$205,"研究")&gt;0,COUNTIFS($B$6:B142,B142,$C$6:C142,C142,$D$6:D142,"支持")=1),IF(INDEX('问题归类'!$G$6:$G$35,MATCH(B142,'问题归类'!$A$6:$A$35,0))="有效",1,0),0))</x:f>
      </x:c>
      <x:c r="H142" s="16" t="str">
        <x:f>IF(A142="","",IF(G142=1,IF(COUNTIFS($B$6:B142,B142,$F$6:F142,F142,$G$6:G142,1)=1,1,0),0))</x:f>
      </x:c>
      <x:c r="I142" s="16" t="str">
        <x:f>IF(A142="","",IF(AND(D142="反例",COUNTIF('问题归类'!$A$6:$A$35,B142)=1,COUNTIF('评论证据'!$AA$6:$AA$205,C142)&gt;0,COUNTIFS($B$6:B142,B142,$C$6:C142,C142,$D$6:D142,"反例")=1),1,0))</x:f>
      </x:c>
      <x:c r="J142" s="16" t="str">
        <x:f>IF(A142="","",IF(COUNTIF('问题归类'!$A$6:$A$35,B142)&lt;&gt;1,"问题编号缺失或重复",IF(COUNTIF('评论证据'!$D$6:$D$205,C142)=0,"评论编号缺失",IF(COUNTIFS($B$6:B142,B142,$C$6:C142,C142,$D$6:D142,D142)&gt;1,"重复关联不重复计数",""))))</x:f>
      </x:c>
    </x:row>
    <x:row r="143" ht="36" customHeight="1">
      <x:c r="A143" s="11"/>
      <x:c r="B143" s="11"/>
      <x:c r="C143" s="11"/>
      <x:c r="D143" s="11"/>
      <x:c r="E143" s="11"/>
      <x:c r="F143" s="16" t="str">
        <x:f>IF(A143="","",IF(COUNTIF('评论证据'!$AA$6:$AA$205,C143)=0,"缺可定位研究评论",INDEX('评论证据'!$E$6:$E$205,MATCH(C143,'评论证据'!$AA$6:$AA$205,0))))</x:f>
      </x:c>
      <x:c r="G143" s="16" t="str">
        <x:f>IF(A143="","",IF(AND(B143&lt;&gt;"",C143&lt;&gt;"",D143="支持",COUNTIF('问题归类'!$A$6:$A$35,B143)=1,COUNTIFS('评论证据'!$D$6:$D$205,C143,'评论证据'!$T$6:$T$205,1,'评论证据'!$C$6:$C$205,"研究")&gt;0,COUNTIFS($B$6:B143,B143,$C$6:C143,C143,$D$6:D143,"支持")=1),IF(INDEX('问题归类'!$G$6:$G$35,MATCH(B143,'问题归类'!$A$6:$A$35,0))="有效",1,0),0))</x:f>
      </x:c>
      <x:c r="H143" s="16" t="str">
        <x:f>IF(A143="","",IF(G143=1,IF(COUNTIFS($B$6:B143,B143,$F$6:F143,F143,$G$6:G143,1)=1,1,0),0))</x:f>
      </x:c>
      <x:c r="I143" s="16" t="str">
        <x:f>IF(A143="","",IF(AND(D143="反例",COUNTIF('问题归类'!$A$6:$A$35,B143)=1,COUNTIF('评论证据'!$AA$6:$AA$205,C143)&gt;0,COUNTIFS($B$6:B143,B143,$C$6:C143,C143,$D$6:D143,"反例")=1),1,0))</x:f>
      </x:c>
      <x:c r="J143" s="16" t="str">
        <x:f>IF(A143="","",IF(COUNTIF('问题归类'!$A$6:$A$35,B143)&lt;&gt;1,"问题编号缺失或重复",IF(COUNTIF('评论证据'!$D$6:$D$205,C143)=0,"评论编号缺失",IF(COUNTIFS($B$6:B143,B143,$C$6:C143,C143,$D$6:D143,D143)&gt;1,"重复关联不重复计数",""))))</x:f>
      </x:c>
    </x:row>
    <x:row r="144" ht="36" customHeight="1">
      <x:c r="A144" s="11"/>
      <x:c r="B144" s="11"/>
      <x:c r="C144" s="11"/>
      <x:c r="D144" s="11"/>
      <x:c r="E144" s="11"/>
      <x:c r="F144" s="16" t="str">
        <x:f>IF(A144="","",IF(COUNTIF('评论证据'!$AA$6:$AA$205,C144)=0,"缺可定位研究评论",INDEX('评论证据'!$E$6:$E$205,MATCH(C144,'评论证据'!$AA$6:$AA$205,0))))</x:f>
      </x:c>
      <x:c r="G144" s="16" t="str">
        <x:f>IF(A144="","",IF(AND(B144&lt;&gt;"",C144&lt;&gt;"",D144="支持",COUNTIF('问题归类'!$A$6:$A$35,B144)=1,COUNTIFS('评论证据'!$D$6:$D$205,C144,'评论证据'!$T$6:$T$205,1,'评论证据'!$C$6:$C$205,"研究")&gt;0,COUNTIFS($B$6:B144,B144,$C$6:C144,C144,$D$6:D144,"支持")=1),IF(INDEX('问题归类'!$G$6:$G$35,MATCH(B144,'问题归类'!$A$6:$A$35,0))="有效",1,0),0))</x:f>
      </x:c>
      <x:c r="H144" s="16" t="str">
        <x:f>IF(A144="","",IF(G144=1,IF(COUNTIFS($B$6:B144,B144,$F$6:F144,F144,$G$6:G144,1)=1,1,0),0))</x:f>
      </x:c>
      <x:c r="I144" s="16" t="str">
        <x:f>IF(A144="","",IF(AND(D144="反例",COUNTIF('问题归类'!$A$6:$A$35,B144)=1,COUNTIF('评论证据'!$AA$6:$AA$205,C144)&gt;0,COUNTIFS($B$6:B144,B144,$C$6:C144,C144,$D$6:D144,"反例")=1),1,0))</x:f>
      </x:c>
      <x:c r="J144" s="16" t="str">
        <x:f>IF(A144="","",IF(COUNTIF('问题归类'!$A$6:$A$35,B144)&lt;&gt;1,"问题编号缺失或重复",IF(COUNTIF('评论证据'!$D$6:$D$205,C144)=0,"评论编号缺失",IF(COUNTIFS($B$6:B144,B144,$C$6:C144,C144,$D$6:D144,D144)&gt;1,"重复关联不重复计数",""))))</x:f>
      </x:c>
    </x:row>
    <x:row r="145" ht="36" customHeight="1">
      <x:c r="A145" s="11"/>
      <x:c r="B145" s="11"/>
      <x:c r="C145" s="11"/>
      <x:c r="D145" s="11"/>
      <x:c r="E145" s="11"/>
      <x:c r="F145" s="16" t="str">
        <x:f>IF(A145="","",IF(COUNTIF('评论证据'!$AA$6:$AA$205,C145)=0,"缺可定位研究评论",INDEX('评论证据'!$E$6:$E$205,MATCH(C145,'评论证据'!$AA$6:$AA$205,0))))</x:f>
      </x:c>
      <x:c r="G145" s="16" t="str">
        <x:f>IF(A145="","",IF(AND(B145&lt;&gt;"",C145&lt;&gt;"",D145="支持",COUNTIF('问题归类'!$A$6:$A$35,B145)=1,COUNTIFS('评论证据'!$D$6:$D$205,C145,'评论证据'!$T$6:$T$205,1,'评论证据'!$C$6:$C$205,"研究")&gt;0,COUNTIFS($B$6:B145,B145,$C$6:C145,C145,$D$6:D145,"支持")=1),IF(INDEX('问题归类'!$G$6:$G$35,MATCH(B145,'问题归类'!$A$6:$A$35,0))="有效",1,0),0))</x:f>
      </x:c>
      <x:c r="H145" s="16" t="str">
        <x:f>IF(A145="","",IF(G145=1,IF(COUNTIFS($B$6:B145,B145,$F$6:F145,F145,$G$6:G145,1)=1,1,0),0))</x:f>
      </x:c>
      <x:c r="I145" s="16" t="str">
        <x:f>IF(A145="","",IF(AND(D145="反例",COUNTIF('问题归类'!$A$6:$A$35,B145)=1,COUNTIF('评论证据'!$AA$6:$AA$205,C145)&gt;0,COUNTIFS($B$6:B145,B145,$C$6:C145,C145,$D$6:D145,"反例")=1),1,0))</x:f>
      </x:c>
      <x:c r="J145" s="16" t="str">
        <x:f>IF(A145="","",IF(COUNTIF('问题归类'!$A$6:$A$35,B145)&lt;&gt;1,"问题编号缺失或重复",IF(COUNTIF('评论证据'!$D$6:$D$205,C145)=0,"评论编号缺失",IF(COUNTIFS($B$6:B145,B145,$C$6:C145,C145,$D$6:D145,D145)&gt;1,"重复关联不重复计数",""))))</x:f>
      </x:c>
    </x:row>
    <x:row r="146" ht="36" customHeight="1">
      <x:c r="A146" s="11"/>
      <x:c r="B146" s="11"/>
      <x:c r="C146" s="11"/>
      <x:c r="D146" s="11"/>
      <x:c r="E146" s="11"/>
      <x:c r="F146" s="16" t="str">
        <x:f>IF(A146="","",IF(COUNTIF('评论证据'!$AA$6:$AA$205,C146)=0,"缺可定位研究评论",INDEX('评论证据'!$E$6:$E$205,MATCH(C146,'评论证据'!$AA$6:$AA$205,0))))</x:f>
      </x:c>
      <x:c r="G146" s="16" t="str">
        <x:f>IF(A146="","",IF(AND(B146&lt;&gt;"",C146&lt;&gt;"",D146="支持",COUNTIF('问题归类'!$A$6:$A$35,B146)=1,COUNTIFS('评论证据'!$D$6:$D$205,C146,'评论证据'!$T$6:$T$205,1,'评论证据'!$C$6:$C$205,"研究")&gt;0,COUNTIFS($B$6:B146,B146,$C$6:C146,C146,$D$6:D146,"支持")=1),IF(INDEX('问题归类'!$G$6:$G$35,MATCH(B146,'问题归类'!$A$6:$A$35,0))="有效",1,0),0))</x:f>
      </x:c>
      <x:c r="H146" s="16" t="str">
        <x:f>IF(A146="","",IF(G146=1,IF(COUNTIFS($B$6:B146,B146,$F$6:F146,F146,$G$6:G146,1)=1,1,0),0))</x:f>
      </x:c>
      <x:c r="I146" s="16" t="str">
        <x:f>IF(A146="","",IF(AND(D146="反例",COUNTIF('问题归类'!$A$6:$A$35,B146)=1,COUNTIF('评论证据'!$AA$6:$AA$205,C146)&gt;0,COUNTIFS($B$6:B146,B146,$C$6:C146,C146,$D$6:D146,"反例")=1),1,0))</x:f>
      </x:c>
      <x:c r="J146" s="16" t="str">
        <x:f>IF(A146="","",IF(COUNTIF('问题归类'!$A$6:$A$35,B146)&lt;&gt;1,"问题编号缺失或重复",IF(COUNTIF('评论证据'!$D$6:$D$205,C146)=0,"评论编号缺失",IF(COUNTIFS($B$6:B146,B146,$C$6:C146,C146,$D$6:D146,D146)&gt;1,"重复关联不重复计数",""))))</x:f>
      </x:c>
    </x:row>
    <x:row r="147" ht="36" customHeight="1">
      <x:c r="A147" s="11"/>
      <x:c r="B147" s="11"/>
      <x:c r="C147" s="11"/>
      <x:c r="D147" s="11"/>
      <x:c r="E147" s="11"/>
      <x:c r="F147" s="16" t="str">
        <x:f>IF(A147="","",IF(COUNTIF('评论证据'!$AA$6:$AA$205,C147)=0,"缺可定位研究评论",INDEX('评论证据'!$E$6:$E$205,MATCH(C147,'评论证据'!$AA$6:$AA$205,0))))</x:f>
      </x:c>
      <x:c r="G147" s="16" t="str">
        <x:f>IF(A147="","",IF(AND(B147&lt;&gt;"",C147&lt;&gt;"",D147="支持",COUNTIF('问题归类'!$A$6:$A$35,B147)=1,COUNTIFS('评论证据'!$D$6:$D$205,C147,'评论证据'!$T$6:$T$205,1,'评论证据'!$C$6:$C$205,"研究")&gt;0,COUNTIFS($B$6:B147,B147,$C$6:C147,C147,$D$6:D147,"支持")=1),IF(INDEX('问题归类'!$G$6:$G$35,MATCH(B147,'问题归类'!$A$6:$A$35,0))="有效",1,0),0))</x:f>
      </x:c>
      <x:c r="H147" s="16" t="str">
        <x:f>IF(A147="","",IF(G147=1,IF(COUNTIFS($B$6:B147,B147,$F$6:F147,F147,$G$6:G147,1)=1,1,0),0))</x:f>
      </x:c>
      <x:c r="I147" s="16" t="str">
        <x:f>IF(A147="","",IF(AND(D147="反例",COUNTIF('问题归类'!$A$6:$A$35,B147)=1,COUNTIF('评论证据'!$AA$6:$AA$205,C147)&gt;0,COUNTIFS($B$6:B147,B147,$C$6:C147,C147,$D$6:D147,"反例")=1),1,0))</x:f>
      </x:c>
      <x:c r="J147" s="16" t="str">
        <x:f>IF(A147="","",IF(COUNTIF('问题归类'!$A$6:$A$35,B147)&lt;&gt;1,"问题编号缺失或重复",IF(COUNTIF('评论证据'!$D$6:$D$205,C147)=0,"评论编号缺失",IF(COUNTIFS($B$6:B147,B147,$C$6:C147,C147,$D$6:D147,D147)&gt;1,"重复关联不重复计数",""))))</x:f>
      </x:c>
    </x:row>
    <x:row r="148" ht="36" customHeight="1">
      <x:c r="A148" s="11"/>
      <x:c r="B148" s="11"/>
      <x:c r="C148" s="11"/>
      <x:c r="D148" s="11"/>
      <x:c r="E148" s="11"/>
      <x:c r="F148" s="16" t="str">
        <x:f>IF(A148="","",IF(COUNTIF('评论证据'!$AA$6:$AA$205,C148)=0,"缺可定位研究评论",INDEX('评论证据'!$E$6:$E$205,MATCH(C148,'评论证据'!$AA$6:$AA$205,0))))</x:f>
      </x:c>
      <x:c r="G148" s="16" t="str">
        <x:f>IF(A148="","",IF(AND(B148&lt;&gt;"",C148&lt;&gt;"",D148="支持",COUNTIF('问题归类'!$A$6:$A$35,B148)=1,COUNTIFS('评论证据'!$D$6:$D$205,C148,'评论证据'!$T$6:$T$205,1,'评论证据'!$C$6:$C$205,"研究")&gt;0,COUNTIFS($B$6:B148,B148,$C$6:C148,C148,$D$6:D148,"支持")=1),IF(INDEX('问题归类'!$G$6:$G$35,MATCH(B148,'问题归类'!$A$6:$A$35,0))="有效",1,0),0))</x:f>
      </x:c>
      <x:c r="H148" s="16" t="str">
        <x:f>IF(A148="","",IF(G148=1,IF(COUNTIFS($B$6:B148,B148,$F$6:F148,F148,$G$6:G148,1)=1,1,0),0))</x:f>
      </x:c>
      <x:c r="I148" s="16" t="str">
        <x:f>IF(A148="","",IF(AND(D148="反例",COUNTIF('问题归类'!$A$6:$A$35,B148)=1,COUNTIF('评论证据'!$AA$6:$AA$205,C148)&gt;0,COUNTIFS($B$6:B148,B148,$C$6:C148,C148,$D$6:D148,"反例")=1),1,0))</x:f>
      </x:c>
      <x:c r="J148" s="16" t="str">
        <x:f>IF(A148="","",IF(COUNTIF('问题归类'!$A$6:$A$35,B148)&lt;&gt;1,"问题编号缺失或重复",IF(COUNTIF('评论证据'!$D$6:$D$205,C148)=0,"评论编号缺失",IF(COUNTIFS($B$6:B148,B148,$C$6:C148,C148,$D$6:D148,D148)&gt;1,"重复关联不重复计数",""))))</x:f>
      </x:c>
    </x:row>
    <x:row r="149" ht="36" customHeight="1">
      <x:c r="A149" s="11"/>
      <x:c r="B149" s="11"/>
      <x:c r="C149" s="11"/>
      <x:c r="D149" s="11"/>
      <x:c r="E149" s="11"/>
      <x:c r="F149" s="16" t="str">
        <x:f>IF(A149="","",IF(COUNTIF('评论证据'!$AA$6:$AA$205,C149)=0,"缺可定位研究评论",INDEX('评论证据'!$E$6:$E$205,MATCH(C149,'评论证据'!$AA$6:$AA$205,0))))</x:f>
      </x:c>
      <x:c r="G149" s="16" t="str">
        <x:f>IF(A149="","",IF(AND(B149&lt;&gt;"",C149&lt;&gt;"",D149="支持",COUNTIF('问题归类'!$A$6:$A$35,B149)=1,COUNTIFS('评论证据'!$D$6:$D$205,C149,'评论证据'!$T$6:$T$205,1,'评论证据'!$C$6:$C$205,"研究")&gt;0,COUNTIFS($B$6:B149,B149,$C$6:C149,C149,$D$6:D149,"支持")=1),IF(INDEX('问题归类'!$G$6:$G$35,MATCH(B149,'问题归类'!$A$6:$A$35,0))="有效",1,0),0))</x:f>
      </x:c>
      <x:c r="H149" s="16" t="str">
        <x:f>IF(A149="","",IF(G149=1,IF(COUNTIFS($B$6:B149,B149,$F$6:F149,F149,$G$6:G149,1)=1,1,0),0))</x:f>
      </x:c>
      <x:c r="I149" s="16" t="str">
        <x:f>IF(A149="","",IF(AND(D149="反例",COUNTIF('问题归类'!$A$6:$A$35,B149)=1,COUNTIF('评论证据'!$AA$6:$AA$205,C149)&gt;0,COUNTIFS($B$6:B149,B149,$C$6:C149,C149,$D$6:D149,"反例")=1),1,0))</x:f>
      </x:c>
      <x:c r="J149" s="16" t="str">
        <x:f>IF(A149="","",IF(COUNTIF('问题归类'!$A$6:$A$35,B149)&lt;&gt;1,"问题编号缺失或重复",IF(COUNTIF('评论证据'!$D$6:$D$205,C149)=0,"评论编号缺失",IF(COUNTIFS($B$6:B149,B149,$C$6:C149,C149,$D$6:D149,D149)&gt;1,"重复关联不重复计数",""))))</x:f>
      </x:c>
    </x:row>
    <x:row r="150" ht="36" customHeight="1">
      <x:c r="A150" s="11"/>
      <x:c r="B150" s="11"/>
      <x:c r="C150" s="11"/>
      <x:c r="D150" s="11"/>
      <x:c r="E150" s="11"/>
      <x:c r="F150" s="16" t="str">
        <x:f>IF(A150="","",IF(COUNTIF('评论证据'!$AA$6:$AA$205,C150)=0,"缺可定位研究评论",INDEX('评论证据'!$E$6:$E$205,MATCH(C150,'评论证据'!$AA$6:$AA$205,0))))</x:f>
      </x:c>
      <x:c r="G150" s="16" t="str">
        <x:f>IF(A150="","",IF(AND(B150&lt;&gt;"",C150&lt;&gt;"",D150="支持",COUNTIF('问题归类'!$A$6:$A$35,B150)=1,COUNTIFS('评论证据'!$D$6:$D$205,C150,'评论证据'!$T$6:$T$205,1,'评论证据'!$C$6:$C$205,"研究")&gt;0,COUNTIFS($B$6:B150,B150,$C$6:C150,C150,$D$6:D150,"支持")=1),IF(INDEX('问题归类'!$G$6:$G$35,MATCH(B150,'问题归类'!$A$6:$A$35,0))="有效",1,0),0))</x:f>
      </x:c>
      <x:c r="H150" s="16" t="str">
        <x:f>IF(A150="","",IF(G150=1,IF(COUNTIFS($B$6:B150,B150,$F$6:F150,F150,$G$6:G150,1)=1,1,0),0))</x:f>
      </x:c>
      <x:c r="I150" s="16" t="str">
        <x:f>IF(A150="","",IF(AND(D150="反例",COUNTIF('问题归类'!$A$6:$A$35,B150)=1,COUNTIF('评论证据'!$AA$6:$AA$205,C150)&gt;0,COUNTIFS($B$6:B150,B150,$C$6:C150,C150,$D$6:D150,"反例")=1),1,0))</x:f>
      </x:c>
      <x:c r="J150" s="16" t="str">
        <x:f>IF(A150="","",IF(COUNTIF('问题归类'!$A$6:$A$35,B150)&lt;&gt;1,"问题编号缺失或重复",IF(COUNTIF('评论证据'!$D$6:$D$205,C150)=0,"评论编号缺失",IF(COUNTIFS($B$6:B150,B150,$C$6:C150,C150,$D$6:D150,D150)&gt;1,"重复关联不重复计数",""))))</x:f>
      </x:c>
    </x:row>
    <x:row r="151" ht="36" customHeight="1">
      <x:c r="A151" s="11"/>
      <x:c r="B151" s="11"/>
      <x:c r="C151" s="11"/>
      <x:c r="D151" s="11"/>
      <x:c r="E151" s="11"/>
      <x:c r="F151" s="16" t="str">
        <x:f>IF(A151="","",IF(COUNTIF('评论证据'!$AA$6:$AA$205,C151)=0,"缺可定位研究评论",INDEX('评论证据'!$E$6:$E$205,MATCH(C151,'评论证据'!$AA$6:$AA$205,0))))</x:f>
      </x:c>
      <x:c r="G151" s="16" t="str">
        <x:f>IF(A151="","",IF(AND(B151&lt;&gt;"",C151&lt;&gt;"",D151="支持",COUNTIF('问题归类'!$A$6:$A$35,B151)=1,COUNTIFS('评论证据'!$D$6:$D$205,C151,'评论证据'!$T$6:$T$205,1,'评论证据'!$C$6:$C$205,"研究")&gt;0,COUNTIFS($B$6:B151,B151,$C$6:C151,C151,$D$6:D151,"支持")=1),IF(INDEX('问题归类'!$G$6:$G$35,MATCH(B151,'问题归类'!$A$6:$A$35,0))="有效",1,0),0))</x:f>
      </x:c>
      <x:c r="H151" s="16" t="str">
        <x:f>IF(A151="","",IF(G151=1,IF(COUNTIFS($B$6:B151,B151,$F$6:F151,F151,$G$6:G151,1)=1,1,0),0))</x:f>
      </x:c>
      <x:c r="I151" s="16" t="str">
        <x:f>IF(A151="","",IF(AND(D151="反例",COUNTIF('问题归类'!$A$6:$A$35,B151)=1,COUNTIF('评论证据'!$AA$6:$AA$205,C151)&gt;0,COUNTIFS($B$6:B151,B151,$C$6:C151,C151,$D$6:D151,"反例")=1),1,0))</x:f>
      </x:c>
      <x:c r="J151" s="16" t="str">
        <x:f>IF(A151="","",IF(COUNTIF('问题归类'!$A$6:$A$35,B151)&lt;&gt;1,"问题编号缺失或重复",IF(COUNTIF('评论证据'!$D$6:$D$205,C151)=0,"评论编号缺失",IF(COUNTIFS($B$6:B151,B151,$C$6:C151,C151,$D$6:D151,D151)&gt;1,"重复关联不重复计数",""))))</x:f>
      </x:c>
    </x:row>
    <x:row r="152" ht="36" customHeight="1">
      <x:c r="A152" s="11"/>
      <x:c r="B152" s="11"/>
      <x:c r="C152" s="11"/>
      <x:c r="D152" s="11"/>
      <x:c r="E152" s="11"/>
      <x:c r="F152" s="16" t="str">
        <x:f>IF(A152="","",IF(COUNTIF('评论证据'!$AA$6:$AA$205,C152)=0,"缺可定位研究评论",INDEX('评论证据'!$E$6:$E$205,MATCH(C152,'评论证据'!$AA$6:$AA$205,0))))</x:f>
      </x:c>
      <x:c r="G152" s="16" t="str">
        <x:f>IF(A152="","",IF(AND(B152&lt;&gt;"",C152&lt;&gt;"",D152="支持",COUNTIF('问题归类'!$A$6:$A$35,B152)=1,COUNTIFS('评论证据'!$D$6:$D$205,C152,'评论证据'!$T$6:$T$205,1,'评论证据'!$C$6:$C$205,"研究")&gt;0,COUNTIFS($B$6:B152,B152,$C$6:C152,C152,$D$6:D152,"支持")=1),IF(INDEX('问题归类'!$G$6:$G$35,MATCH(B152,'问题归类'!$A$6:$A$35,0))="有效",1,0),0))</x:f>
      </x:c>
      <x:c r="H152" s="16" t="str">
        <x:f>IF(A152="","",IF(G152=1,IF(COUNTIFS($B$6:B152,B152,$F$6:F152,F152,$G$6:G152,1)=1,1,0),0))</x:f>
      </x:c>
      <x:c r="I152" s="16" t="str">
        <x:f>IF(A152="","",IF(AND(D152="反例",COUNTIF('问题归类'!$A$6:$A$35,B152)=1,COUNTIF('评论证据'!$AA$6:$AA$205,C152)&gt;0,COUNTIFS($B$6:B152,B152,$C$6:C152,C152,$D$6:D152,"反例")=1),1,0))</x:f>
      </x:c>
      <x:c r="J152" s="16" t="str">
        <x:f>IF(A152="","",IF(COUNTIF('问题归类'!$A$6:$A$35,B152)&lt;&gt;1,"问题编号缺失或重复",IF(COUNTIF('评论证据'!$D$6:$D$205,C152)=0,"评论编号缺失",IF(COUNTIFS($B$6:B152,B152,$C$6:C152,C152,$D$6:D152,D152)&gt;1,"重复关联不重复计数",""))))</x:f>
      </x:c>
    </x:row>
    <x:row r="153" ht="36" customHeight="1">
      <x:c r="A153" s="11"/>
      <x:c r="B153" s="11"/>
      <x:c r="C153" s="11"/>
      <x:c r="D153" s="11"/>
      <x:c r="E153" s="11"/>
      <x:c r="F153" s="16" t="str">
        <x:f>IF(A153="","",IF(COUNTIF('评论证据'!$AA$6:$AA$205,C153)=0,"缺可定位研究评论",INDEX('评论证据'!$E$6:$E$205,MATCH(C153,'评论证据'!$AA$6:$AA$205,0))))</x:f>
      </x:c>
      <x:c r="G153" s="16" t="str">
        <x:f>IF(A153="","",IF(AND(B153&lt;&gt;"",C153&lt;&gt;"",D153="支持",COUNTIF('问题归类'!$A$6:$A$35,B153)=1,COUNTIFS('评论证据'!$D$6:$D$205,C153,'评论证据'!$T$6:$T$205,1,'评论证据'!$C$6:$C$205,"研究")&gt;0,COUNTIFS($B$6:B153,B153,$C$6:C153,C153,$D$6:D153,"支持")=1),IF(INDEX('问题归类'!$G$6:$G$35,MATCH(B153,'问题归类'!$A$6:$A$35,0))="有效",1,0),0))</x:f>
      </x:c>
      <x:c r="H153" s="16" t="str">
        <x:f>IF(A153="","",IF(G153=1,IF(COUNTIFS($B$6:B153,B153,$F$6:F153,F153,$G$6:G153,1)=1,1,0),0))</x:f>
      </x:c>
      <x:c r="I153" s="16" t="str">
        <x:f>IF(A153="","",IF(AND(D153="反例",COUNTIF('问题归类'!$A$6:$A$35,B153)=1,COUNTIF('评论证据'!$AA$6:$AA$205,C153)&gt;0,COUNTIFS($B$6:B153,B153,$C$6:C153,C153,$D$6:D153,"反例")=1),1,0))</x:f>
      </x:c>
      <x:c r="J153" s="16" t="str">
        <x:f>IF(A153="","",IF(COUNTIF('问题归类'!$A$6:$A$35,B153)&lt;&gt;1,"问题编号缺失或重复",IF(COUNTIF('评论证据'!$D$6:$D$205,C153)=0,"评论编号缺失",IF(COUNTIFS($B$6:B153,B153,$C$6:C153,C153,$D$6:D153,D153)&gt;1,"重复关联不重复计数",""))))</x:f>
      </x:c>
    </x:row>
    <x:row r="154" ht="36" customHeight="1">
      <x:c r="A154" s="11"/>
      <x:c r="B154" s="11"/>
      <x:c r="C154" s="11"/>
      <x:c r="D154" s="11"/>
      <x:c r="E154" s="11"/>
      <x:c r="F154" s="16" t="str">
        <x:f>IF(A154="","",IF(COUNTIF('评论证据'!$AA$6:$AA$205,C154)=0,"缺可定位研究评论",INDEX('评论证据'!$E$6:$E$205,MATCH(C154,'评论证据'!$AA$6:$AA$205,0))))</x:f>
      </x:c>
      <x:c r="G154" s="16" t="str">
        <x:f>IF(A154="","",IF(AND(B154&lt;&gt;"",C154&lt;&gt;"",D154="支持",COUNTIF('问题归类'!$A$6:$A$35,B154)=1,COUNTIFS('评论证据'!$D$6:$D$205,C154,'评论证据'!$T$6:$T$205,1,'评论证据'!$C$6:$C$205,"研究")&gt;0,COUNTIFS($B$6:B154,B154,$C$6:C154,C154,$D$6:D154,"支持")=1),IF(INDEX('问题归类'!$G$6:$G$35,MATCH(B154,'问题归类'!$A$6:$A$35,0))="有效",1,0),0))</x:f>
      </x:c>
      <x:c r="H154" s="16" t="str">
        <x:f>IF(A154="","",IF(G154=1,IF(COUNTIFS($B$6:B154,B154,$F$6:F154,F154,$G$6:G154,1)=1,1,0),0))</x:f>
      </x:c>
      <x:c r="I154" s="16" t="str">
        <x:f>IF(A154="","",IF(AND(D154="反例",COUNTIF('问题归类'!$A$6:$A$35,B154)=1,COUNTIF('评论证据'!$AA$6:$AA$205,C154)&gt;0,COUNTIFS($B$6:B154,B154,$C$6:C154,C154,$D$6:D154,"反例")=1),1,0))</x:f>
      </x:c>
      <x:c r="J154" s="16" t="str">
        <x:f>IF(A154="","",IF(COUNTIF('问题归类'!$A$6:$A$35,B154)&lt;&gt;1,"问题编号缺失或重复",IF(COUNTIF('评论证据'!$D$6:$D$205,C154)=0,"评论编号缺失",IF(COUNTIFS($B$6:B154,B154,$C$6:C154,C154,$D$6:D154,D154)&gt;1,"重复关联不重复计数",""))))</x:f>
      </x:c>
    </x:row>
    <x:row r="155" ht="36" customHeight="1">
      <x:c r="A155" s="11"/>
      <x:c r="B155" s="11"/>
      <x:c r="C155" s="11"/>
      <x:c r="D155" s="11"/>
      <x:c r="E155" s="11"/>
      <x:c r="F155" s="16" t="str">
        <x:f>IF(A155="","",IF(COUNTIF('评论证据'!$AA$6:$AA$205,C155)=0,"缺可定位研究评论",INDEX('评论证据'!$E$6:$E$205,MATCH(C155,'评论证据'!$AA$6:$AA$205,0))))</x:f>
      </x:c>
      <x:c r="G155" s="16" t="str">
        <x:f>IF(A155="","",IF(AND(B155&lt;&gt;"",C155&lt;&gt;"",D155="支持",COUNTIF('问题归类'!$A$6:$A$35,B155)=1,COUNTIFS('评论证据'!$D$6:$D$205,C155,'评论证据'!$T$6:$T$205,1,'评论证据'!$C$6:$C$205,"研究")&gt;0,COUNTIFS($B$6:B155,B155,$C$6:C155,C155,$D$6:D155,"支持")=1),IF(INDEX('问题归类'!$G$6:$G$35,MATCH(B155,'问题归类'!$A$6:$A$35,0))="有效",1,0),0))</x:f>
      </x:c>
      <x:c r="H155" s="16" t="str">
        <x:f>IF(A155="","",IF(G155=1,IF(COUNTIFS($B$6:B155,B155,$F$6:F155,F155,$G$6:G155,1)=1,1,0),0))</x:f>
      </x:c>
      <x:c r="I155" s="16" t="str">
        <x:f>IF(A155="","",IF(AND(D155="反例",COUNTIF('问题归类'!$A$6:$A$35,B155)=1,COUNTIF('评论证据'!$AA$6:$AA$205,C155)&gt;0,COUNTIFS($B$6:B155,B155,$C$6:C155,C155,$D$6:D155,"反例")=1),1,0))</x:f>
      </x:c>
      <x:c r="J155" s="16" t="str">
        <x:f>IF(A155="","",IF(COUNTIF('问题归类'!$A$6:$A$35,B155)&lt;&gt;1,"问题编号缺失或重复",IF(COUNTIF('评论证据'!$D$6:$D$205,C155)=0,"评论编号缺失",IF(COUNTIFS($B$6:B155,B155,$C$6:C155,C155,$D$6:D155,D155)&gt;1,"重复关联不重复计数",""))))</x:f>
      </x:c>
    </x:row>
    <x:row r="156" ht="36" customHeight="1">
      <x:c r="A156" s="11"/>
      <x:c r="B156" s="11"/>
      <x:c r="C156" s="11"/>
      <x:c r="D156" s="11"/>
      <x:c r="E156" s="11"/>
      <x:c r="F156" s="16" t="str">
        <x:f>IF(A156="","",IF(COUNTIF('评论证据'!$AA$6:$AA$205,C156)=0,"缺可定位研究评论",INDEX('评论证据'!$E$6:$E$205,MATCH(C156,'评论证据'!$AA$6:$AA$205,0))))</x:f>
      </x:c>
      <x:c r="G156" s="16" t="str">
        <x:f>IF(A156="","",IF(AND(B156&lt;&gt;"",C156&lt;&gt;"",D156="支持",COUNTIF('问题归类'!$A$6:$A$35,B156)=1,COUNTIFS('评论证据'!$D$6:$D$205,C156,'评论证据'!$T$6:$T$205,1,'评论证据'!$C$6:$C$205,"研究")&gt;0,COUNTIFS($B$6:B156,B156,$C$6:C156,C156,$D$6:D156,"支持")=1),IF(INDEX('问题归类'!$G$6:$G$35,MATCH(B156,'问题归类'!$A$6:$A$35,0))="有效",1,0),0))</x:f>
      </x:c>
      <x:c r="H156" s="16" t="str">
        <x:f>IF(A156="","",IF(G156=1,IF(COUNTIFS($B$6:B156,B156,$F$6:F156,F156,$G$6:G156,1)=1,1,0),0))</x:f>
      </x:c>
      <x:c r="I156" s="16" t="str">
        <x:f>IF(A156="","",IF(AND(D156="反例",COUNTIF('问题归类'!$A$6:$A$35,B156)=1,COUNTIF('评论证据'!$AA$6:$AA$205,C156)&gt;0,COUNTIFS($B$6:B156,B156,$C$6:C156,C156,$D$6:D156,"反例")=1),1,0))</x:f>
      </x:c>
      <x:c r="J156" s="16" t="str">
        <x:f>IF(A156="","",IF(COUNTIF('问题归类'!$A$6:$A$35,B156)&lt;&gt;1,"问题编号缺失或重复",IF(COUNTIF('评论证据'!$D$6:$D$205,C156)=0,"评论编号缺失",IF(COUNTIFS($B$6:B156,B156,$C$6:C156,C156,$D$6:D156,D156)&gt;1,"重复关联不重复计数",""))))</x:f>
      </x:c>
    </x:row>
    <x:row r="157" ht="36" customHeight="1">
      <x:c r="A157" s="11"/>
      <x:c r="B157" s="11"/>
      <x:c r="C157" s="11"/>
      <x:c r="D157" s="11"/>
      <x:c r="E157" s="11"/>
      <x:c r="F157" s="16" t="str">
        <x:f>IF(A157="","",IF(COUNTIF('评论证据'!$AA$6:$AA$205,C157)=0,"缺可定位研究评论",INDEX('评论证据'!$E$6:$E$205,MATCH(C157,'评论证据'!$AA$6:$AA$205,0))))</x:f>
      </x:c>
      <x:c r="G157" s="16" t="str">
        <x:f>IF(A157="","",IF(AND(B157&lt;&gt;"",C157&lt;&gt;"",D157="支持",COUNTIF('问题归类'!$A$6:$A$35,B157)=1,COUNTIFS('评论证据'!$D$6:$D$205,C157,'评论证据'!$T$6:$T$205,1,'评论证据'!$C$6:$C$205,"研究")&gt;0,COUNTIFS($B$6:B157,B157,$C$6:C157,C157,$D$6:D157,"支持")=1),IF(INDEX('问题归类'!$G$6:$G$35,MATCH(B157,'问题归类'!$A$6:$A$35,0))="有效",1,0),0))</x:f>
      </x:c>
      <x:c r="H157" s="16" t="str">
        <x:f>IF(A157="","",IF(G157=1,IF(COUNTIFS($B$6:B157,B157,$F$6:F157,F157,$G$6:G157,1)=1,1,0),0))</x:f>
      </x:c>
      <x:c r="I157" s="16" t="str">
        <x:f>IF(A157="","",IF(AND(D157="反例",COUNTIF('问题归类'!$A$6:$A$35,B157)=1,COUNTIF('评论证据'!$AA$6:$AA$205,C157)&gt;0,COUNTIFS($B$6:B157,B157,$C$6:C157,C157,$D$6:D157,"反例")=1),1,0))</x:f>
      </x:c>
      <x:c r="J157" s="16" t="str">
        <x:f>IF(A157="","",IF(COUNTIF('问题归类'!$A$6:$A$35,B157)&lt;&gt;1,"问题编号缺失或重复",IF(COUNTIF('评论证据'!$D$6:$D$205,C157)=0,"评论编号缺失",IF(COUNTIFS($B$6:B157,B157,$C$6:C157,C157,$D$6:D157,D157)&gt;1,"重复关联不重复计数",""))))</x:f>
      </x:c>
    </x:row>
    <x:row r="158" ht="36" customHeight="1">
      <x:c r="A158" s="11"/>
      <x:c r="B158" s="11"/>
      <x:c r="C158" s="11"/>
      <x:c r="D158" s="11"/>
      <x:c r="E158" s="11"/>
      <x:c r="F158" s="16" t="str">
        <x:f>IF(A158="","",IF(COUNTIF('评论证据'!$AA$6:$AA$205,C158)=0,"缺可定位研究评论",INDEX('评论证据'!$E$6:$E$205,MATCH(C158,'评论证据'!$AA$6:$AA$205,0))))</x:f>
      </x:c>
      <x:c r="G158" s="16" t="str">
        <x:f>IF(A158="","",IF(AND(B158&lt;&gt;"",C158&lt;&gt;"",D158="支持",COUNTIF('问题归类'!$A$6:$A$35,B158)=1,COUNTIFS('评论证据'!$D$6:$D$205,C158,'评论证据'!$T$6:$T$205,1,'评论证据'!$C$6:$C$205,"研究")&gt;0,COUNTIFS($B$6:B158,B158,$C$6:C158,C158,$D$6:D158,"支持")=1),IF(INDEX('问题归类'!$G$6:$G$35,MATCH(B158,'问题归类'!$A$6:$A$35,0))="有效",1,0),0))</x:f>
      </x:c>
      <x:c r="H158" s="16" t="str">
        <x:f>IF(A158="","",IF(G158=1,IF(COUNTIFS($B$6:B158,B158,$F$6:F158,F158,$G$6:G158,1)=1,1,0),0))</x:f>
      </x:c>
      <x:c r="I158" s="16" t="str">
        <x:f>IF(A158="","",IF(AND(D158="反例",COUNTIF('问题归类'!$A$6:$A$35,B158)=1,COUNTIF('评论证据'!$AA$6:$AA$205,C158)&gt;0,COUNTIFS($B$6:B158,B158,$C$6:C158,C158,$D$6:D158,"反例")=1),1,0))</x:f>
      </x:c>
      <x:c r="J158" s="16" t="str">
        <x:f>IF(A158="","",IF(COUNTIF('问题归类'!$A$6:$A$35,B158)&lt;&gt;1,"问题编号缺失或重复",IF(COUNTIF('评论证据'!$D$6:$D$205,C158)=0,"评论编号缺失",IF(COUNTIFS($B$6:B158,B158,$C$6:C158,C158,$D$6:D158,D158)&gt;1,"重复关联不重复计数",""))))</x:f>
      </x:c>
    </x:row>
    <x:row r="159" ht="36" customHeight="1">
      <x:c r="A159" s="11"/>
      <x:c r="B159" s="11"/>
      <x:c r="C159" s="11"/>
      <x:c r="D159" s="11"/>
      <x:c r="E159" s="11"/>
      <x:c r="F159" s="16" t="str">
        <x:f>IF(A159="","",IF(COUNTIF('评论证据'!$AA$6:$AA$205,C159)=0,"缺可定位研究评论",INDEX('评论证据'!$E$6:$E$205,MATCH(C159,'评论证据'!$AA$6:$AA$205,0))))</x:f>
      </x:c>
      <x:c r="G159" s="16" t="str">
        <x:f>IF(A159="","",IF(AND(B159&lt;&gt;"",C159&lt;&gt;"",D159="支持",COUNTIF('问题归类'!$A$6:$A$35,B159)=1,COUNTIFS('评论证据'!$D$6:$D$205,C159,'评论证据'!$T$6:$T$205,1,'评论证据'!$C$6:$C$205,"研究")&gt;0,COUNTIFS($B$6:B159,B159,$C$6:C159,C159,$D$6:D159,"支持")=1),IF(INDEX('问题归类'!$G$6:$G$35,MATCH(B159,'问题归类'!$A$6:$A$35,0))="有效",1,0),0))</x:f>
      </x:c>
      <x:c r="H159" s="16" t="str">
        <x:f>IF(A159="","",IF(G159=1,IF(COUNTIFS($B$6:B159,B159,$F$6:F159,F159,$G$6:G159,1)=1,1,0),0))</x:f>
      </x:c>
      <x:c r="I159" s="16" t="str">
        <x:f>IF(A159="","",IF(AND(D159="反例",COUNTIF('问题归类'!$A$6:$A$35,B159)=1,COUNTIF('评论证据'!$AA$6:$AA$205,C159)&gt;0,COUNTIFS($B$6:B159,B159,$C$6:C159,C159,$D$6:D159,"反例")=1),1,0))</x:f>
      </x:c>
      <x:c r="J159" s="16" t="str">
        <x:f>IF(A159="","",IF(COUNTIF('问题归类'!$A$6:$A$35,B159)&lt;&gt;1,"问题编号缺失或重复",IF(COUNTIF('评论证据'!$D$6:$D$205,C159)=0,"评论编号缺失",IF(COUNTIFS($B$6:B159,B159,$C$6:C159,C159,$D$6:D159,D159)&gt;1,"重复关联不重复计数",""))))</x:f>
      </x:c>
    </x:row>
    <x:row r="160" ht="36" customHeight="1">
      <x:c r="A160" s="11"/>
      <x:c r="B160" s="11"/>
      <x:c r="C160" s="11"/>
      <x:c r="D160" s="11"/>
      <x:c r="E160" s="11"/>
      <x:c r="F160" s="16" t="str">
        <x:f>IF(A160="","",IF(COUNTIF('评论证据'!$AA$6:$AA$205,C160)=0,"缺可定位研究评论",INDEX('评论证据'!$E$6:$E$205,MATCH(C160,'评论证据'!$AA$6:$AA$205,0))))</x:f>
      </x:c>
      <x:c r="G160" s="16" t="str">
        <x:f>IF(A160="","",IF(AND(B160&lt;&gt;"",C160&lt;&gt;"",D160="支持",COUNTIF('问题归类'!$A$6:$A$35,B160)=1,COUNTIFS('评论证据'!$D$6:$D$205,C160,'评论证据'!$T$6:$T$205,1,'评论证据'!$C$6:$C$205,"研究")&gt;0,COUNTIFS($B$6:B160,B160,$C$6:C160,C160,$D$6:D160,"支持")=1),IF(INDEX('问题归类'!$G$6:$G$35,MATCH(B160,'问题归类'!$A$6:$A$35,0))="有效",1,0),0))</x:f>
      </x:c>
      <x:c r="H160" s="16" t="str">
        <x:f>IF(A160="","",IF(G160=1,IF(COUNTIFS($B$6:B160,B160,$F$6:F160,F160,$G$6:G160,1)=1,1,0),0))</x:f>
      </x:c>
      <x:c r="I160" s="16" t="str">
        <x:f>IF(A160="","",IF(AND(D160="反例",COUNTIF('问题归类'!$A$6:$A$35,B160)=1,COUNTIF('评论证据'!$AA$6:$AA$205,C160)&gt;0,COUNTIFS($B$6:B160,B160,$C$6:C160,C160,$D$6:D160,"反例")=1),1,0))</x:f>
      </x:c>
      <x:c r="J160" s="16" t="str">
        <x:f>IF(A160="","",IF(COUNTIF('问题归类'!$A$6:$A$35,B160)&lt;&gt;1,"问题编号缺失或重复",IF(COUNTIF('评论证据'!$D$6:$D$205,C160)=0,"评论编号缺失",IF(COUNTIFS($B$6:B160,B160,$C$6:C160,C160,$D$6:D160,D160)&gt;1,"重复关联不重复计数",""))))</x:f>
      </x:c>
    </x:row>
    <x:row r="161" ht="36" customHeight="1">
      <x:c r="A161" s="11"/>
      <x:c r="B161" s="11"/>
      <x:c r="C161" s="11"/>
      <x:c r="D161" s="11"/>
      <x:c r="E161" s="11"/>
      <x:c r="F161" s="16" t="str">
        <x:f>IF(A161="","",IF(COUNTIF('评论证据'!$AA$6:$AA$205,C161)=0,"缺可定位研究评论",INDEX('评论证据'!$E$6:$E$205,MATCH(C161,'评论证据'!$AA$6:$AA$205,0))))</x:f>
      </x:c>
      <x:c r="G161" s="16" t="str">
        <x:f>IF(A161="","",IF(AND(B161&lt;&gt;"",C161&lt;&gt;"",D161="支持",COUNTIF('问题归类'!$A$6:$A$35,B161)=1,COUNTIFS('评论证据'!$D$6:$D$205,C161,'评论证据'!$T$6:$T$205,1,'评论证据'!$C$6:$C$205,"研究")&gt;0,COUNTIFS($B$6:B161,B161,$C$6:C161,C161,$D$6:D161,"支持")=1),IF(INDEX('问题归类'!$G$6:$G$35,MATCH(B161,'问题归类'!$A$6:$A$35,0))="有效",1,0),0))</x:f>
      </x:c>
      <x:c r="H161" s="16" t="str">
        <x:f>IF(A161="","",IF(G161=1,IF(COUNTIFS($B$6:B161,B161,$F$6:F161,F161,$G$6:G161,1)=1,1,0),0))</x:f>
      </x:c>
      <x:c r="I161" s="16" t="str">
        <x:f>IF(A161="","",IF(AND(D161="反例",COUNTIF('问题归类'!$A$6:$A$35,B161)=1,COUNTIF('评论证据'!$AA$6:$AA$205,C161)&gt;0,COUNTIFS($B$6:B161,B161,$C$6:C161,C161,$D$6:D161,"反例")=1),1,0))</x:f>
      </x:c>
      <x:c r="J161" s="16" t="str">
        <x:f>IF(A161="","",IF(COUNTIF('问题归类'!$A$6:$A$35,B161)&lt;&gt;1,"问题编号缺失或重复",IF(COUNTIF('评论证据'!$D$6:$D$205,C161)=0,"评论编号缺失",IF(COUNTIFS($B$6:B161,B161,$C$6:C161,C161,$D$6:D161,D161)&gt;1,"重复关联不重复计数",""))))</x:f>
      </x:c>
    </x:row>
    <x:row r="162" ht="36" customHeight="1">
      <x:c r="A162" s="11"/>
      <x:c r="B162" s="11"/>
      <x:c r="C162" s="11"/>
      <x:c r="D162" s="11"/>
      <x:c r="E162" s="11"/>
      <x:c r="F162" s="16" t="str">
        <x:f>IF(A162="","",IF(COUNTIF('评论证据'!$AA$6:$AA$205,C162)=0,"缺可定位研究评论",INDEX('评论证据'!$E$6:$E$205,MATCH(C162,'评论证据'!$AA$6:$AA$205,0))))</x:f>
      </x:c>
      <x:c r="G162" s="16" t="str">
        <x:f>IF(A162="","",IF(AND(B162&lt;&gt;"",C162&lt;&gt;"",D162="支持",COUNTIF('问题归类'!$A$6:$A$35,B162)=1,COUNTIFS('评论证据'!$D$6:$D$205,C162,'评论证据'!$T$6:$T$205,1,'评论证据'!$C$6:$C$205,"研究")&gt;0,COUNTIFS($B$6:B162,B162,$C$6:C162,C162,$D$6:D162,"支持")=1),IF(INDEX('问题归类'!$G$6:$G$35,MATCH(B162,'问题归类'!$A$6:$A$35,0))="有效",1,0),0))</x:f>
      </x:c>
      <x:c r="H162" s="16" t="str">
        <x:f>IF(A162="","",IF(G162=1,IF(COUNTIFS($B$6:B162,B162,$F$6:F162,F162,$G$6:G162,1)=1,1,0),0))</x:f>
      </x:c>
      <x:c r="I162" s="16" t="str">
        <x:f>IF(A162="","",IF(AND(D162="反例",COUNTIF('问题归类'!$A$6:$A$35,B162)=1,COUNTIF('评论证据'!$AA$6:$AA$205,C162)&gt;0,COUNTIFS($B$6:B162,B162,$C$6:C162,C162,$D$6:D162,"反例")=1),1,0))</x:f>
      </x:c>
      <x:c r="J162" s="16" t="str">
        <x:f>IF(A162="","",IF(COUNTIF('问题归类'!$A$6:$A$35,B162)&lt;&gt;1,"问题编号缺失或重复",IF(COUNTIF('评论证据'!$D$6:$D$205,C162)=0,"评论编号缺失",IF(COUNTIFS($B$6:B162,B162,$C$6:C162,C162,$D$6:D162,D162)&gt;1,"重复关联不重复计数",""))))</x:f>
      </x:c>
    </x:row>
    <x:row r="163" ht="36" customHeight="1">
      <x:c r="A163" s="11"/>
      <x:c r="B163" s="11"/>
      <x:c r="C163" s="11"/>
      <x:c r="D163" s="11"/>
      <x:c r="E163" s="11"/>
      <x:c r="F163" s="16" t="str">
        <x:f>IF(A163="","",IF(COUNTIF('评论证据'!$AA$6:$AA$205,C163)=0,"缺可定位研究评论",INDEX('评论证据'!$E$6:$E$205,MATCH(C163,'评论证据'!$AA$6:$AA$205,0))))</x:f>
      </x:c>
      <x:c r="G163" s="16" t="str">
        <x:f>IF(A163="","",IF(AND(B163&lt;&gt;"",C163&lt;&gt;"",D163="支持",COUNTIF('问题归类'!$A$6:$A$35,B163)=1,COUNTIFS('评论证据'!$D$6:$D$205,C163,'评论证据'!$T$6:$T$205,1,'评论证据'!$C$6:$C$205,"研究")&gt;0,COUNTIFS($B$6:B163,B163,$C$6:C163,C163,$D$6:D163,"支持")=1),IF(INDEX('问题归类'!$G$6:$G$35,MATCH(B163,'问题归类'!$A$6:$A$35,0))="有效",1,0),0))</x:f>
      </x:c>
      <x:c r="H163" s="16" t="str">
        <x:f>IF(A163="","",IF(G163=1,IF(COUNTIFS($B$6:B163,B163,$F$6:F163,F163,$G$6:G163,1)=1,1,0),0))</x:f>
      </x:c>
      <x:c r="I163" s="16" t="str">
        <x:f>IF(A163="","",IF(AND(D163="反例",COUNTIF('问题归类'!$A$6:$A$35,B163)=1,COUNTIF('评论证据'!$AA$6:$AA$205,C163)&gt;0,COUNTIFS($B$6:B163,B163,$C$6:C163,C163,$D$6:D163,"反例")=1),1,0))</x:f>
      </x:c>
      <x:c r="J163" s="16" t="str">
        <x:f>IF(A163="","",IF(COUNTIF('问题归类'!$A$6:$A$35,B163)&lt;&gt;1,"问题编号缺失或重复",IF(COUNTIF('评论证据'!$D$6:$D$205,C163)=0,"评论编号缺失",IF(COUNTIFS($B$6:B163,B163,$C$6:C163,C163,$D$6:D163,D163)&gt;1,"重复关联不重复计数",""))))</x:f>
      </x:c>
    </x:row>
    <x:row r="164" ht="36" customHeight="1">
      <x:c r="A164" s="11"/>
      <x:c r="B164" s="11"/>
      <x:c r="C164" s="11"/>
      <x:c r="D164" s="11"/>
      <x:c r="E164" s="11"/>
      <x:c r="F164" s="16" t="str">
        <x:f>IF(A164="","",IF(COUNTIF('评论证据'!$AA$6:$AA$205,C164)=0,"缺可定位研究评论",INDEX('评论证据'!$E$6:$E$205,MATCH(C164,'评论证据'!$AA$6:$AA$205,0))))</x:f>
      </x:c>
      <x:c r="G164" s="16" t="str">
        <x:f>IF(A164="","",IF(AND(B164&lt;&gt;"",C164&lt;&gt;"",D164="支持",COUNTIF('问题归类'!$A$6:$A$35,B164)=1,COUNTIFS('评论证据'!$D$6:$D$205,C164,'评论证据'!$T$6:$T$205,1,'评论证据'!$C$6:$C$205,"研究")&gt;0,COUNTIFS($B$6:B164,B164,$C$6:C164,C164,$D$6:D164,"支持")=1),IF(INDEX('问题归类'!$G$6:$G$35,MATCH(B164,'问题归类'!$A$6:$A$35,0))="有效",1,0),0))</x:f>
      </x:c>
      <x:c r="H164" s="16" t="str">
        <x:f>IF(A164="","",IF(G164=1,IF(COUNTIFS($B$6:B164,B164,$F$6:F164,F164,$G$6:G164,1)=1,1,0),0))</x:f>
      </x:c>
      <x:c r="I164" s="16" t="str">
        <x:f>IF(A164="","",IF(AND(D164="反例",COUNTIF('问题归类'!$A$6:$A$35,B164)=1,COUNTIF('评论证据'!$AA$6:$AA$205,C164)&gt;0,COUNTIFS($B$6:B164,B164,$C$6:C164,C164,$D$6:D164,"反例")=1),1,0))</x:f>
      </x:c>
      <x:c r="J164" s="16" t="str">
        <x:f>IF(A164="","",IF(COUNTIF('问题归类'!$A$6:$A$35,B164)&lt;&gt;1,"问题编号缺失或重复",IF(COUNTIF('评论证据'!$D$6:$D$205,C164)=0,"评论编号缺失",IF(COUNTIFS($B$6:B164,B164,$C$6:C164,C164,$D$6:D164,D164)&gt;1,"重复关联不重复计数",""))))</x:f>
      </x:c>
    </x:row>
    <x:row r="165" ht="36" customHeight="1">
      <x:c r="A165" s="11"/>
      <x:c r="B165" s="11"/>
      <x:c r="C165" s="11"/>
      <x:c r="D165" s="11"/>
      <x:c r="E165" s="11"/>
      <x:c r="F165" s="16" t="str">
        <x:f>IF(A165="","",IF(COUNTIF('评论证据'!$AA$6:$AA$205,C165)=0,"缺可定位研究评论",INDEX('评论证据'!$E$6:$E$205,MATCH(C165,'评论证据'!$AA$6:$AA$205,0))))</x:f>
      </x:c>
      <x:c r="G165" s="16" t="str">
        <x:f>IF(A165="","",IF(AND(B165&lt;&gt;"",C165&lt;&gt;"",D165="支持",COUNTIF('问题归类'!$A$6:$A$35,B165)=1,COUNTIFS('评论证据'!$D$6:$D$205,C165,'评论证据'!$T$6:$T$205,1,'评论证据'!$C$6:$C$205,"研究")&gt;0,COUNTIFS($B$6:B165,B165,$C$6:C165,C165,$D$6:D165,"支持")=1),IF(INDEX('问题归类'!$G$6:$G$35,MATCH(B165,'问题归类'!$A$6:$A$35,0))="有效",1,0),0))</x:f>
      </x:c>
      <x:c r="H165" s="16" t="str">
        <x:f>IF(A165="","",IF(G165=1,IF(COUNTIFS($B$6:B165,B165,$F$6:F165,F165,$G$6:G165,1)=1,1,0),0))</x:f>
      </x:c>
      <x:c r="I165" s="16" t="str">
        <x:f>IF(A165="","",IF(AND(D165="反例",COUNTIF('问题归类'!$A$6:$A$35,B165)=1,COUNTIF('评论证据'!$AA$6:$AA$205,C165)&gt;0,COUNTIFS($B$6:B165,B165,$C$6:C165,C165,$D$6:D165,"反例")=1),1,0))</x:f>
      </x:c>
      <x:c r="J165" s="16" t="str">
        <x:f>IF(A165="","",IF(COUNTIF('问题归类'!$A$6:$A$35,B165)&lt;&gt;1,"问题编号缺失或重复",IF(COUNTIF('评论证据'!$D$6:$D$205,C165)=0,"评论编号缺失",IF(COUNTIFS($B$6:B165,B165,$C$6:C165,C165,$D$6:D165,D165)&gt;1,"重复关联不重复计数",""))))</x:f>
      </x:c>
    </x:row>
    <x:row r="166" ht="36" customHeight="1">
      <x:c r="A166" s="11"/>
      <x:c r="B166" s="11"/>
      <x:c r="C166" s="11"/>
      <x:c r="D166" s="11"/>
      <x:c r="E166" s="11"/>
      <x:c r="F166" s="16" t="str">
        <x:f>IF(A166="","",IF(COUNTIF('评论证据'!$AA$6:$AA$205,C166)=0,"缺可定位研究评论",INDEX('评论证据'!$E$6:$E$205,MATCH(C166,'评论证据'!$AA$6:$AA$205,0))))</x:f>
      </x:c>
      <x:c r="G166" s="16" t="str">
        <x:f>IF(A166="","",IF(AND(B166&lt;&gt;"",C166&lt;&gt;"",D166="支持",COUNTIF('问题归类'!$A$6:$A$35,B166)=1,COUNTIFS('评论证据'!$D$6:$D$205,C166,'评论证据'!$T$6:$T$205,1,'评论证据'!$C$6:$C$205,"研究")&gt;0,COUNTIFS($B$6:B166,B166,$C$6:C166,C166,$D$6:D166,"支持")=1),IF(INDEX('问题归类'!$G$6:$G$35,MATCH(B166,'问题归类'!$A$6:$A$35,0))="有效",1,0),0))</x:f>
      </x:c>
      <x:c r="H166" s="16" t="str">
        <x:f>IF(A166="","",IF(G166=1,IF(COUNTIFS($B$6:B166,B166,$F$6:F166,F166,$G$6:G166,1)=1,1,0),0))</x:f>
      </x:c>
      <x:c r="I166" s="16" t="str">
        <x:f>IF(A166="","",IF(AND(D166="反例",COUNTIF('问题归类'!$A$6:$A$35,B166)=1,COUNTIF('评论证据'!$AA$6:$AA$205,C166)&gt;0,COUNTIFS($B$6:B166,B166,$C$6:C166,C166,$D$6:D166,"反例")=1),1,0))</x:f>
      </x:c>
      <x:c r="J166" s="16" t="str">
        <x:f>IF(A166="","",IF(COUNTIF('问题归类'!$A$6:$A$35,B166)&lt;&gt;1,"问题编号缺失或重复",IF(COUNTIF('评论证据'!$D$6:$D$205,C166)=0,"评论编号缺失",IF(COUNTIFS($B$6:B166,B166,$C$6:C166,C166,$D$6:D166,D166)&gt;1,"重复关联不重复计数",""))))</x:f>
      </x:c>
    </x:row>
    <x:row r="167" ht="36" customHeight="1">
      <x:c r="A167" s="11"/>
      <x:c r="B167" s="11"/>
      <x:c r="C167" s="11"/>
      <x:c r="D167" s="11"/>
      <x:c r="E167" s="11"/>
      <x:c r="F167" s="16" t="str">
        <x:f>IF(A167="","",IF(COUNTIF('评论证据'!$AA$6:$AA$205,C167)=0,"缺可定位研究评论",INDEX('评论证据'!$E$6:$E$205,MATCH(C167,'评论证据'!$AA$6:$AA$205,0))))</x:f>
      </x:c>
      <x:c r="G167" s="16" t="str">
        <x:f>IF(A167="","",IF(AND(B167&lt;&gt;"",C167&lt;&gt;"",D167="支持",COUNTIF('问题归类'!$A$6:$A$35,B167)=1,COUNTIFS('评论证据'!$D$6:$D$205,C167,'评论证据'!$T$6:$T$205,1,'评论证据'!$C$6:$C$205,"研究")&gt;0,COUNTIFS($B$6:B167,B167,$C$6:C167,C167,$D$6:D167,"支持")=1),IF(INDEX('问题归类'!$G$6:$G$35,MATCH(B167,'问题归类'!$A$6:$A$35,0))="有效",1,0),0))</x:f>
      </x:c>
      <x:c r="H167" s="16" t="str">
        <x:f>IF(A167="","",IF(G167=1,IF(COUNTIFS($B$6:B167,B167,$F$6:F167,F167,$G$6:G167,1)=1,1,0),0))</x:f>
      </x:c>
      <x:c r="I167" s="16" t="str">
        <x:f>IF(A167="","",IF(AND(D167="反例",COUNTIF('问题归类'!$A$6:$A$35,B167)=1,COUNTIF('评论证据'!$AA$6:$AA$205,C167)&gt;0,COUNTIFS($B$6:B167,B167,$C$6:C167,C167,$D$6:D167,"反例")=1),1,0))</x:f>
      </x:c>
      <x:c r="J167" s="16" t="str">
        <x:f>IF(A167="","",IF(COUNTIF('问题归类'!$A$6:$A$35,B167)&lt;&gt;1,"问题编号缺失或重复",IF(COUNTIF('评论证据'!$D$6:$D$205,C167)=0,"评论编号缺失",IF(COUNTIFS($B$6:B167,B167,$C$6:C167,C167,$D$6:D167,D167)&gt;1,"重复关联不重复计数",""))))</x:f>
      </x:c>
    </x:row>
    <x:row r="168" ht="36" customHeight="1">
      <x:c r="A168" s="11"/>
      <x:c r="B168" s="11"/>
      <x:c r="C168" s="11"/>
      <x:c r="D168" s="11"/>
      <x:c r="E168" s="11"/>
      <x:c r="F168" s="16" t="str">
        <x:f>IF(A168="","",IF(COUNTIF('评论证据'!$AA$6:$AA$205,C168)=0,"缺可定位研究评论",INDEX('评论证据'!$E$6:$E$205,MATCH(C168,'评论证据'!$AA$6:$AA$205,0))))</x:f>
      </x:c>
      <x:c r="G168" s="16" t="str">
        <x:f>IF(A168="","",IF(AND(B168&lt;&gt;"",C168&lt;&gt;"",D168="支持",COUNTIF('问题归类'!$A$6:$A$35,B168)=1,COUNTIFS('评论证据'!$D$6:$D$205,C168,'评论证据'!$T$6:$T$205,1,'评论证据'!$C$6:$C$205,"研究")&gt;0,COUNTIFS($B$6:B168,B168,$C$6:C168,C168,$D$6:D168,"支持")=1),IF(INDEX('问题归类'!$G$6:$G$35,MATCH(B168,'问题归类'!$A$6:$A$35,0))="有效",1,0),0))</x:f>
      </x:c>
      <x:c r="H168" s="16" t="str">
        <x:f>IF(A168="","",IF(G168=1,IF(COUNTIFS($B$6:B168,B168,$F$6:F168,F168,$G$6:G168,1)=1,1,0),0))</x:f>
      </x:c>
      <x:c r="I168" s="16" t="str">
        <x:f>IF(A168="","",IF(AND(D168="反例",COUNTIF('问题归类'!$A$6:$A$35,B168)=1,COUNTIF('评论证据'!$AA$6:$AA$205,C168)&gt;0,COUNTIFS($B$6:B168,B168,$C$6:C168,C168,$D$6:D168,"反例")=1),1,0))</x:f>
      </x:c>
      <x:c r="J168" s="16" t="str">
        <x:f>IF(A168="","",IF(COUNTIF('问题归类'!$A$6:$A$35,B168)&lt;&gt;1,"问题编号缺失或重复",IF(COUNTIF('评论证据'!$D$6:$D$205,C168)=0,"评论编号缺失",IF(COUNTIFS($B$6:B168,B168,$C$6:C168,C168,$D$6:D168,D168)&gt;1,"重复关联不重复计数",""))))</x:f>
      </x:c>
    </x:row>
    <x:row r="169" ht="36" customHeight="1">
      <x:c r="A169" s="11"/>
      <x:c r="B169" s="11"/>
      <x:c r="C169" s="11"/>
      <x:c r="D169" s="11"/>
      <x:c r="E169" s="11"/>
      <x:c r="F169" s="16" t="str">
        <x:f>IF(A169="","",IF(COUNTIF('评论证据'!$AA$6:$AA$205,C169)=0,"缺可定位研究评论",INDEX('评论证据'!$E$6:$E$205,MATCH(C169,'评论证据'!$AA$6:$AA$205,0))))</x:f>
      </x:c>
      <x:c r="G169" s="16" t="str">
        <x:f>IF(A169="","",IF(AND(B169&lt;&gt;"",C169&lt;&gt;"",D169="支持",COUNTIF('问题归类'!$A$6:$A$35,B169)=1,COUNTIFS('评论证据'!$D$6:$D$205,C169,'评论证据'!$T$6:$T$205,1,'评论证据'!$C$6:$C$205,"研究")&gt;0,COUNTIFS($B$6:B169,B169,$C$6:C169,C169,$D$6:D169,"支持")=1),IF(INDEX('问题归类'!$G$6:$G$35,MATCH(B169,'问题归类'!$A$6:$A$35,0))="有效",1,0),0))</x:f>
      </x:c>
      <x:c r="H169" s="16" t="str">
        <x:f>IF(A169="","",IF(G169=1,IF(COUNTIFS($B$6:B169,B169,$F$6:F169,F169,$G$6:G169,1)=1,1,0),0))</x:f>
      </x:c>
      <x:c r="I169" s="16" t="str">
        <x:f>IF(A169="","",IF(AND(D169="反例",COUNTIF('问题归类'!$A$6:$A$35,B169)=1,COUNTIF('评论证据'!$AA$6:$AA$205,C169)&gt;0,COUNTIFS($B$6:B169,B169,$C$6:C169,C169,$D$6:D169,"反例")=1),1,0))</x:f>
      </x:c>
      <x:c r="J169" s="16" t="str">
        <x:f>IF(A169="","",IF(COUNTIF('问题归类'!$A$6:$A$35,B169)&lt;&gt;1,"问题编号缺失或重复",IF(COUNTIF('评论证据'!$D$6:$D$205,C169)=0,"评论编号缺失",IF(COUNTIFS($B$6:B169,B169,$C$6:C169,C169,$D$6:D169,D169)&gt;1,"重复关联不重复计数",""))))</x:f>
      </x:c>
    </x:row>
    <x:row r="170" ht="36" customHeight="1">
      <x:c r="A170" s="11"/>
      <x:c r="B170" s="11"/>
      <x:c r="C170" s="11"/>
      <x:c r="D170" s="11"/>
      <x:c r="E170" s="11"/>
      <x:c r="F170" s="16" t="str">
        <x:f>IF(A170="","",IF(COUNTIF('评论证据'!$AA$6:$AA$205,C170)=0,"缺可定位研究评论",INDEX('评论证据'!$E$6:$E$205,MATCH(C170,'评论证据'!$AA$6:$AA$205,0))))</x:f>
      </x:c>
      <x:c r="G170" s="16" t="str">
        <x:f>IF(A170="","",IF(AND(B170&lt;&gt;"",C170&lt;&gt;"",D170="支持",COUNTIF('问题归类'!$A$6:$A$35,B170)=1,COUNTIFS('评论证据'!$D$6:$D$205,C170,'评论证据'!$T$6:$T$205,1,'评论证据'!$C$6:$C$205,"研究")&gt;0,COUNTIFS($B$6:B170,B170,$C$6:C170,C170,$D$6:D170,"支持")=1),IF(INDEX('问题归类'!$G$6:$G$35,MATCH(B170,'问题归类'!$A$6:$A$35,0))="有效",1,0),0))</x:f>
      </x:c>
      <x:c r="H170" s="16" t="str">
        <x:f>IF(A170="","",IF(G170=1,IF(COUNTIFS($B$6:B170,B170,$F$6:F170,F170,$G$6:G170,1)=1,1,0),0))</x:f>
      </x:c>
      <x:c r="I170" s="16" t="str">
        <x:f>IF(A170="","",IF(AND(D170="反例",COUNTIF('问题归类'!$A$6:$A$35,B170)=1,COUNTIF('评论证据'!$AA$6:$AA$205,C170)&gt;0,COUNTIFS($B$6:B170,B170,$C$6:C170,C170,$D$6:D170,"反例")=1),1,0))</x:f>
      </x:c>
      <x:c r="J170" s="16" t="str">
        <x:f>IF(A170="","",IF(COUNTIF('问题归类'!$A$6:$A$35,B170)&lt;&gt;1,"问题编号缺失或重复",IF(COUNTIF('评论证据'!$D$6:$D$205,C170)=0,"评论编号缺失",IF(COUNTIFS($B$6:B170,B170,$C$6:C170,C170,$D$6:D170,D170)&gt;1,"重复关联不重复计数",""))))</x:f>
      </x:c>
    </x:row>
    <x:row r="171" ht="36" customHeight="1">
      <x:c r="A171" s="11"/>
      <x:c r="B171" s="11"/>
      <x:c r="C171" s="11"/>
      <x:c r="D171" s="11"/>
      <x:c r="E171" s="11"/>
      <x:c r="F171" s="16" t="str">
        <x:f>IF(A171="","",IF(COUNTIF('评论证据'!$AA$6:$AA$205,C171)=0,"缺可定位研究评论",INDEX('评论证据'!$E$6:$E$205,MATCH(C171,'评论证据'!$AA$6:$AA$205,0))))</x:f>
      </x:c>
      <x:c r="G171" s="16" t="str">
        <x:f>IF(A171="","",IF(AND(B171&lt;&gt;"",C171&lt;&gt;"",D171="支持",COUNTIF('问题归类'!$A$6:$A$35,B171)=1,COUNTIFS('评论证据'!$D$6:$D$205,C171,'评论证据'!$T$6:$T$205,1,'评论证据'!$C$6:$C$205,"研究")&gt;0,COUNTIFS($B$6:B171,B171,$C$6:C171,C171,$D$6:D171,"支持")=1),IF(INDEX('问题归类'!$G$6:$G$35,MATCH(B171,'问题归类'!$A$6:$A$35,0))="有效",1,0),0))</x:f>
      </x:c>
      <x:c r="H171" s="16" t="str">
        <x:f>IF(A171="","",IF(G171=1,IF(COUNTIFS($B$6:B171,B171,$F$6:F171,F171,$G$6:G171,1)=1,1,0),0))</x:f>
      </x:c>
      <x:c r="I171" s="16" t="str">
        <x:f>IF(A171="","",IF(AND(D171="反例",COUNTIF('问题归类'!$A$6:$A$35,B171)=1,COUNTIF('评论证据'!$AA$6:$AA$205,C171)&gt;0,COUNTIFS($B$6:B171,B171,$C$6:C171,C171,$D$6:D171,"反例")=1),1,0))</x:f>
      </x:c>
      <x:c r="J171" s="16" t="str">
        <x:f>IF(A171="","",IF(COUNTIF('问题归类'!$A$6:$A$35,B171)&lt;&gt;1,"问题编号缺失或重复",IF(COUNTIF('评论证据'!$D$6:$D$205,C171)=0,"评论编号缺失",IF(COUNTIFS($B$6:B171,B171,$C$6:C171,C171,$D$6:D171,D171)&gt;1,"重复关联不重复计数",""))))</x:f>
      </x:c>
    </x:row>
    <x:row r="172" ht="36" customHeight="1">
      <x:c r="A172" s="11"/>
      <x:c r="B172" s="11"/>
      <x:c r="C172" s="11"/>
      <x:c r="D172" s="11"/>
      <x:c r="E172" s="11"/>
      <x:c r="F172" s="16" t="str">
        <x:f>IF(A172="","",IF(COUNTIF('评论证据'!$AA$6:$AA$205,C172)=0,"缺可定位研究评论",INDEX('评论证据'!$E$6:$E$205,MATCH(C172,'评论证据'!$AA$6:$AA$205,0))))</x:f>
      </x:c>
      <x:c r="G172" s="16" t="str">
        <x:f>IF(A172="","",IF(AND(B172&lt;&gt;"",C172&lt;&gt;"",D172="支持",COUNTIF('问题归类'!$A$6:$A$35,B172)=1,COUNTIFS('评论证据'!$D$6:$D$205,C172,'评论证据'!$T$6:$T$205,1,'评论证据'!$C$6:$C$205,"研究")&gt;0,COUNTIFS($B$6:B172,B172,$C$6:C172,C172,$D$6:D172,"支持")=1),IF(INDEX('问题归类'!$G$6:$G$35,MATCH(B172,'问题归类'!$A$6:$A$35,0))="有效",1,0),0))</x:f>
      </x:c>
      <x:c r="H172" s="16" t="str">
        <x:f>IF(A172="","",IF(G172=1,IF(COUNTIFS($B$6:B172,B172,$F$6:F172,F172,$G$6:G172,1)=1,1,0),0))</x:f>
      </x:c>
      <x:c r="I172" s="16" t="str">
        <x:f>IF(A172="","",IF(AND(D172="反例",COUNTIF('问题归类'!$A$6:$A$35,B172)=1,COUNTIF('评论证据'!$AA$6:$AA$205,C172)&gt;0,COUNTIFS($B$6:B172,B172,$C$6:C172,C172,$D$6:D172,"反例")=1),1,0))</x:f>
      </x:c>
      <x:c r="J172" s="16" t="str">
        <x:f>IF(A172="","",IF(COUNTIF('问题归类'!$A$6:$A$35,B172)&lt;&gt;1,"问题编号缺失或重复",IF(COUNTIF('评论证据'!$D$6:$D$205,C172)=0,"评论编号缺失",IF(COUNTIFS($B$6:B172,B172,$C$6:C172,C172,$D$6:D172,D172)&gt;1,"重复关联不重复计数",""))))</x:f>
      </x:c>
    </x:row>
    <x:row r="173" ht="36" customHeight="1">
      <x:c r="A173" s="11"/>
      <x:c r="B173" s="11"/>
      <x:c r="C173" s="11"/>
      <x:c r="D173" s="11"/>
      <x:c r="E173" s="11"/>
      <x:c r="F173" s="16" t="str">
        <x:f>IF(A173="","",IF(COUNTIF('评论证据'!$AA$6:$AA$205,C173)=0,"缺可定位研究评论",INDEX('评论证据'!$E$6:$E$205,MATCH(C173,'评论证据'!$AA$6:$AA$205,0))))</x:f>
      </x:c>
      <x:c r="G173" s="16" t="str">
        <x:f>IF(A173="","",IF(AND(B173&lt;&gt;"",C173&lt;&gt;"",D173="支持",COUNTIF('问题归类'!$A$6:$A$35,B173)=1,COUNTIFS('评论证据'!$D$6:$D$205,C173,'评论证据'!$T$6:$T$205,1,'评论证据'!$C$6:$C$205,"研究")&gt;0,COUNTIFS($B$6:B173,B173,$C$6:C173,C173,$D$6:D173,"支持")=1),IF(INDEX('问题归类'!$G$6:$G$35,MATCH(B173,'问题归类'!$A$6:$A$35,0))="有效",1,0),0))</x:f>
      </x:c>
      <x:c r="H173" s="16" t="str">
        <x:f>IF(A173="","",IF(G173=1,IF(COUNTIFS($B$6:B173,B173,$F$6:F173,F173,$G$6:G173,1)=1,1,0),0))</x:f>
      </x:c>
      <x:c r="I173" s="16" t="str">
        <x:f>IF(A173="","",IF(AND(D173="反例",COUNTIF('问题归类'!$A$6:$A$35,B173)=1,COUNTIF('评论证据'!$AA$6:$AA$205,C173)&gt;0,COUNTIFS($B$6:B173,B173,$C$6:C173,C173,$D$6:D173,"反例")=1),1,0))</x:f>
      </x:c>
      <x:c r="J173" s="16" t="str">
        <x:f>IF(A173="","",IF(COUNTIF('问题归类'!$A$6:$A$35,B173)&lt;&gt;1,"问题编号缺失或重复",IF(COUNTIF('评论证据'!$D$6:$D$205,C173)=0,"评论编号缺失",IF(COUNTIFS($B$6:B173,B173,$C$6:C173,C173,$D$6:D173,D173)&gt;1,"重复关联不重复计数",""))))</x:f>
      </x:c>
    </x:row>
    <x:row r="174" ht="36" customHeight="1">
      <x:c r="A174" s="11"/>
      <x:c r="B174" s="11"/>
      <x:c r="C174" s="11"/>
      <x:c r="D174" s="11"/>
      <x:c r="E174" s="11"/>
      <x:c r="F174" s="16" t="str">
        <x:f>IF(A174="","",IF(COUNTIF('评论证据'!$AA$6:$AA$205,C174)=0,"缺可定位研究评论",INDEX('评论证据'!$E$6:$E$205,MATCH(C174,'评论证据'!$AA$6:$AA$205,0))))</x:f>
      </x:c>
      <x:c r="G174" s="16" t="str">
        <x:f>IF(A174="","",IF(AND(B174&lt;&gt;"",C174&lt;&gt;"",D174="支持",COUNTIF('问题归类'!$A$6:$A$35,B174)=1,COUNTIFS('评论证据'!$D$6:$D$205,C174,'评论证据'!$T$6:$T$205,1,'评论证据'!$C$6:$C$205,"研究")&gt;0,COUNTIFS($B$6:B174,B174,$C$6:C174,C174,$D$6:D174,"支持")=1),IF(INDEX('问题归类'!$G$6:$G$35,MATCH(B174,'问题归类'!$A$6:$A$35,0))="有效",1,0),0))</x:f>
      </x:c>
      <x:c r="H174" s="16" t="str">
        <x:f>IF(A174="","",IF(G174=1,IF(COUNTIFS($B$6:B174,B174,$F$6:F174,F174,$G$6:G174,1)=1,1,0),0))</x:f>
      </x:c>
      <x:c r="I174" s="16" t="str">
        <x:f>IF(A174="","",IF(AND(D174="反例",COUNTIF('问题归类'!$A$6:$A$35,B174)=1,COUNTIF('评论证据'!$AA$6:$AA$205,C174)&gt;0,COUNTIFS($B$6:B174,B174,$C$6:C174,C174,$D$6:D174,"反例")=1),1,0))</x:f>
      </x:c>
      <x:c r="J174" s="16" t="str">
        <x:f>IF(A174="","",IF(COUNTIF('问题归类'!$A$6:$A$35,B174)&lt;&gt;1,"问题编号缺失或重复",IF(COUNTIF('评论证据'!$D$6:$D$205,C174)=0,"评论编号缺失",IF(COUNTIFS($B$6:B174,B174,$C$6:C174,C174,$D$6:D174,D174)&gt;1,"重复关联不重复计数",""))))</x:f>
      </x:c>
    </x:row>
    <x:row r="175" ht="36" customHeight="1">
      <x:c r="A175" s="11"/>
      <x:c r="B175" s="11"/>
      <x:c r="C175" s="11"/>
      <x:c r="D175" s="11"/>
      <x:c r="E175" s="11"/>
      <x:c r="F175" s="16" t="str">
        <x:f>IF(A175="","",IF(COUNTIF('评论证据'!$AA$6:$AA$205,C175)=0,"缺可定位研究评论",INDEX('评论证据'!$E$6:$E$205,MATCH(C175,'评论证据'!$AA$6:$AA$205,0))))</x:f>
      </x:c>
      <x:c r="G175" s="16" t="str">
        <x:f>IF(A175="","",IF(AND(B175&lt;&gt;"",C175&lt;&gt;"",D175="支持",COUNTIF('问题归类'!$A$6:$A$35,B175)=1,COUNTIFS('评论证据'!$D$6:$D$205,C175,'评论证据'!$T$6:$T$205,1,'评论证据'!$C$6:$C$205,"研究")&gt;0,COUNTIFS($B$6:B175,B175,$C$6:C175,C175,$D$6:D175,"支持")=1),IF(INDEX('问题归类'!$G$6:$G$35,MATCH(B175,'问题归类'!$A$6:$A$35,0))="有效",1,0),0))</x:f>
      </x:c>
      <x:c r="H175" s="16" t="str">
        <x:f>IF(A175="","",IF(G175=1,IF(COUNTIFS($B$6:B175,B175,$F$6:F175,F175,$G$6:G175,1)=1,1,0),0))</x:f>
      </x:c>
      <x:c r="I175" s="16" t="str">
        <x:f>IF(A175="","",IF(AND(D175="反例",COUNTIF('问题归类'!$A$6:$A$35,B175)=1,COUNTIF('评论证据'!$AA$6:$AA$205,C175)&gt;0,COUNTIFS($B$6:B175,B175,$C$6:C175,C175,$D$6:D175,"反例")=1),1,0))</x:f>
      </x:c>
      <x:c r="J175" s="16" t="str">
        <x:f>IF(A175="","",IF(COUNTIF('问题归类'!$A$6:$A$35,B175)&lt;&gt;1,"问题编号缺失或重复",IF(COUNTIF('评论证据'!$D$6:$D$205,C175)=0,"评论编号缺失",IF(COUNTIFS($B$6:B175,B175,$C$6:C175,C175,$D$6:D175,D175)&gt;1,"重复关联不重复计数",""))))</x:f>
      </x:c>
    </x:row>
    <x:row r="176" ht="36" customHeight="1">
      <x:c r="A176" s="11"/>
      <x:c r="B176" s="11"/>
      <x:c r="C176" s="11"/>
      <x:c r="D176" s="11"/>
      <x:c r="E176" s="11"/>
      <x:c r="F176" s="16" t="str">
        <x:f>IF(A176="","",IF(COUNTIF('评论证据'!$AA$6:$AA$205,C176)=0,"缺可定位研究评论",INDEX('评论证据'!$E$6:$E$205,MATCH(C176,'评论证据'!$AA$6:$AA$205,0))))</x:f>
      </x:c>
      <x:c r="G176" s="16" t="str">
        <x:f>IF(A176="","",IF(AND(B176&lt;&gt;"",C176&lt;&gt;"",D176="支持",COUNTIF('问题归类'!$A$6:$A$35,B176)=1,COUNTIFS('评论证据'!$D$6:$D$205,C176,'评论证据'!$T$6:$T$205,1,'评论证据'!$C$6:$C$205,"研究")&gt;0,COUNTIFS($B$6:B176,B176,$C$6:C176,C176,$D$6:D176,"支持")=1),IF(INDEX('问题归类'!$G$6:$G$35,MATCH(B176,'问题归类'!$A$6:$A$35,0))="有效",1,0),0))</x:f>
      </x:c>
      <x:c r="H176" s="16" t="str">
        <x:f>IF(A176="","",IF(G176=1,IF(COUNTIFS($B$6:B176,B176,$F$6:F176,F176,$G$6:G176,1)=1,1,0),0))</x:f>
      </x:c>
      <x:c r="I176" s="16" t="str">
        <x:f>IF(A176="","",IF(AND(D176="反例",COUNTIF('问题归类'!$A$6:$A$35,B176)=1,COUNTIF('评论证据'!$AA$6:$AA$205,C176)&gt;0,COUNTIFS($B$6:B176,B176,$C$6:C176,C176,$D$6:D176,"反例")=1),1,0))</x:f>
      </x:c>
      <x:c r="J176" s="16" t="str">
        <x:f>IF(A176="","",IF(COUNTIF('问题归类'!$A$6:$A$35,B176)&lt;&gt;1,"问题编号缺失或重复",IF(COUNTIF('评论证据'!$D$6:$D$205,C176)=0,"评论编号缺失",IF(COUNTIFS($B$6:B176,B176,$C$6:C176,C176,$D$6:D176,D176)&gt;1,"重复关联不重复计数",""))))</x:f>
      </x:c>
    </x:row>
    <x:row r="177" ht="36" customHeight="1">
      <x:c r="A177" s="11"/>
      <x:c r="B177" s="11"/>
      <x:c r="C177" s="11"/>
      <x:c r="D177" s="11"/>
      <x:c r="E177" s="11"/>
      <x:c r="F177" s="16" t="str">
        <x:f>IF(A177="","",IF(COUNTIF('评论证据'!$AA$6:$AA$205,C177)=0,"缺可定位研究评论",INDEX('评论证据'!$E$6:$E$205,MATCH(C177,'评论证据'!$AA$6:$AA$205,0))))</x:f>
      </x:c>
      <x:c r="G177" s="16" t="str">
        <x:f>IF(A177="","",IF(AND(B177&lt;&gt;"",C177&lt;&gt;"",D177="支持",COUNTIF('问题归类'!$A$6:$A$35,B177)=1,COUNTIFS('评论证据'!$D$6:$D$205,C177,'评论证据'!$T$6:$T$205,1,'评论证据'!$C$6:$C$205,"研究")&gt;0,COUNTIFS($B$6:B177,B177,$C$6:C177,C177,$D$6:D177,"支持")=1),IF(INDEX('问题归类'!$G$6:$G$35,MATCH(B177,'问题归类'!$A$6:$A$35,0))="有效",1,0),0))</x:f>
      </x:c>
      <x:c r="H177" s="16" t="str">
        <x:f>IF(A177="","",IF(G177=1,IF(COUNTIFS($B$6:B177,B177,$F$6:F177,F177,$G$6:G177,1)=1,1,0),0))</x:f>
      </x:c>
      <x:c r="I177" s="16" t="str">
        <x:f>IF(A177="","",IF(AND(D177="反例",COUNTIF('问题归类'!$A$6:$A$35,B177)=1,COUNTIF('评论证据'!$AA$6:$AA$205,C177)&gt;0,COUNTIFS($B$6:B177,B177,$C$6:C177,C177,$D$6:D177,"反例")=1),1,0))</x:f>
      </x:c>
      <x:c r="J177" s="16" t="str">
        <x:f>IF(A177="","",IF(COUNTIF('问题归类'!$A$6:$A$35,B177)&lt;&gt;1,"问题编号缺失或重复",IF(COUNTIF('评论证据'!$D$6:$D$205,C177)=0,"评论编号缺失",IF(COUNTIFS($B$6:B177,B177,$C$6:C177,C177,$D$6:D177,D177)&gt;1,"重复关联不重复计数",""))))</x:f>
      </x:c>
    </x:row>
    <x:row r="178" ht="36" customHeight="1">
      <x:c r="A178" s="11"/>
      <x:c r="B178" s="11"/>
      <x:c r="C178" s="11"/>
      <x:c r="D178" s="11"/>
      <x:c r="E178" s="11"/>
      <x:c r="F178" s="16" t="str">
        <x:f>IF(A178="","",IF(COUNTIF('评论证据'!$AA$6:$AA$205,C178)=0,"缺可定位研究评论",INDEX('评论证据'!$E$6:$E$205,MATCH(C178,'评论证据'!$AA$6:$AA$205,0))))</x:f>
      </x:c>
      <x:c r="G178" s="16" t="str">
        <x:f>IF(A178="","",IF(AND(B178&lt;&gt;"",C178&lt;&gt;"",D178="支持",COUNTIF('问题归类'!$A$6:$A$35,B178)=1,COUNTIFS('评论证据'!$D$6:$D$205,C178,'评论证据'!$T$6:$T$205,1,'评论证据'!$C$6:$C$205,"研究")&gt;0,COUNTIFS($B$6:B178,B178,$C$6:C178,C178,$D$6:D178,"支持")=1),IF(INDEX('问题归类'!$G$6:$G$35,MATCH(B178,'问题归类'!$A$6:$A$35,0))="有效",1,0),0))</x:f>
      </x:c>
      <x:c r="H178" s="16" t="str">
        <x:f>IF(A178="","",IF(G178=1,IF(COUNTIFS($B$6:B178,B178,$F$6:F178,F178,$G$6:G178,1)=1,1,0),0))</x:f>
      </x:c>
      <x:c r="I178" s="16" t="str">
        <x:f>IF(A178="","",IF(AND(D178="反例",COUNTIF('问题归类'!$A$6:$A$35,B178)=1,COUNTIF('评论证据'!$AA$6:$AA$205,C178)&gt;0,COUNTIFS($B$6:B178,B178,$C$6:C178,C178,$D$6:D178,"反例")=1),1,0))</x:f>
      </x:c>
      <x:c r="J178" s="16" t="str">
        <x:f>IF(A178="","",IF(COUNTIF('问题归类'!$A$6:$A$35,B178)&lt;&gt;1,"问题编号缺失或重复",IF(COUNTIF('评论证据'!$D$6:$D$205,C178)=0,"评论编号缺失",IF(COUNTIFS($B$6:B178,B178,$C$6:C178,C178,$D$6:D178,D178)&gt;1,"重复关联不重复计数",""))))</x:f>
      </x:c>
    </x:row>
    <x:row r="179" ht="36" customHeight="1">
      <x:c r="A179" s="11"/>
      <x:c r="B179" s="11"/>
      <x:c r="C179" s="11"/>
      <x:c r="D179" s="11"/>
      <x:c r="E179" s="11"/>
      <x:c r="F179" s="16" t="str">
        <x:f>IF(A179="","",IF(COUNTIF('评论证据'!$AA$6:$AA$205,C179)=0,"缺可定位研究评论",INDEX('评论证据'!$E$6:$E$205,MATCH(C179,'评论证据'!$AA$6:$AA$205,0))))</x:f>
      </x:c>
      <x:c r="G179" s="16" t="str">
        <x:f>IF(A179="","",IF(AND(B179&lt;&gt;"",C179&lt;&gt;"",D179="支持",COUNTIF('问题归类'!$A$6:$A$35,B179)=1,COUNTIFS('评论证据'!$D$6:$D$205,C179,'评论证据'!$T$6:$T$205,1,'评论证据'!$C$6:$C$205,"研究")&gt;0,COUNTIFS($B$6:B179,B179,$C$6:C179,C179,$D$6:D179,"支持")=1),IF(INDEX('问题归类'!$G$6:$G$35,MATCH(B179,'问题归类'!$A$6:$A$35,0))="有效",1,0),0))</x:f>
      </x:c>
      <x:c r="H179" s="16" t="str">
        <x:f>IF(A179="","",IF(G179=1,IF(COUNTIFS($B$6:B179,B179,$F$6:F179,F179,$G$6:G179,1)=1,1,0),0))</x:f>
      </x:c>
      <x:c r="I179" s="16" t="str">
        <x:f>IF(A179="","",IF(AND(D179="反例",COUNTIF('问题归类'!$A$6:$A$35,B179)=1,COUNTIF('评论证据'!$AA$6:$AA$205,C179)&gt;0,COUNTIFS($B$6:B179,B179,$C$6:C179,C179,$D$6:D179,"反例")=1),1,0))</x:f>
      </x:c>
      <x:c r="J179" s="16" t="str">
        <x:f>IF(A179="","",IF(COUNTIF('问题归类'!$A$6:$A$35,B179)&lt;&gt;1,"问题编号缺失或重复",IF(COUNTIF('评论证据'!$D$6:$D$205,C179)=0,"评论编号缺失",IF(COUNTIFS($B$6:B179,B179,$C$6:C179,C179,$D$6:D179,D179)&gt;1,"重复关联不重复计数",""))))</x:f>
      </x:c>
    </x:row>
    <x:row r="180" ht="36" customHeight="1">
      <x:c r="A180" s="11"/>
      <x:c r="B180" s="11"/>
      <x:c r="C180" s="11"/>
      <x:c r="D180" s="11"/>
      <x:c r="E180" s="11"/>
      <x:c r="F180" s="16" t="str">
        <x:f>IF(A180="","",IF(COUNTIF('评论证据'!$AA$6:$AA$205,C180)=0,"缺可定位研究评论",INDEX('评论证据'!$E$6:$E$205,MATCH(C180,'评论证据'!$AA$6:$AA$205,0))))</x:f>
      </x:c>
      <x:c r="G180" s="16" t="str">
        <x:f>IF(A180="","",IF(AND(B180&lt;&gt;"",C180&lt;&gt;"",D180="支持",COUNTIF('问题归类'!$A$6:$A$35,B180)=1,COUNTIFS('评论证据'!$D$6:$D$205,C180,'评论证据'!$T$6:$T$205,1,'评论证据'!$C$6:$C$205,"研究")&gt;0,COUNTIFS($B$6:B180,B180,$C$6:C180,C180,$D$6:D180,"支持")=1),IF(INDEX('问题归类'!$G$6:$G$35,MATCH(B180,'问题归类'!$A$6:$A$35,0))="有效",1,0),0))</x:f>
      </x:c>
      <x:c r="H180" s="16" t="str">
        <x:f>IF(A180="","",IF(G180=1,IF(COUNTIFS($B$6:B180,B180,$F$6:F180,F180,$G$6:G180,1)=1,1,0),0))</x:f>
      </x:c>
      <x:c r="I180" s="16" t="str">
        <x:f>IF(A180="","",IF(AND(D180="反例",COUNTIF('问题归类'!$A$6:$A$35,B180)=1,COUNTIF('评论证据'!$AA$6:$AA$205,C180)&gt;0,COUNTIFS($B$6:B180,B180,$C$6:C180,C180,$D$6:D180,"反例")=1),1,0))</x:f>
      </x:c>
      <x:c r="J180" s="16" t="str">
        <x:f>IF(A180="","",IF(COUNTIF('问题归类'!$A$6:$A$35,B180)&lt;&gt;1,"问题编号缺失或重复",IF(COUNTIF('评论证据'!$D$6:$D$205,C180)=0,"评论编号缺失",IF(COUNTIFS($B$6:B180,B180,$C$6:C180,C180,$D$6:D180,D180)&gt;1,"重复关联不重复计数",""))))</x:f>
      </x:c>
    </x:row>
    <x:row r="181" ht="36" customHeight="1">
      <x:c r="A181" s="11"/>
      <x:c r="B181" s="11"/>
      <x:c r="C181" s="11"/>
      <x:c r="D181" s="11"/>
      <x:c r="E181" s="11"/>
      <x:c r="F181" s="16" t="str">
        <x:f>IF(A181="","",IF(COUNTIF('评论证据'!$AA$6:$AA$205,C181)=0,"缺可定位研究评论",INDEX('评论证据'!$E$6:$E$205,MATCH(C181,'评论证据'!$AA$6:$AA$205,0))))</x:f>
      </x:c>
      <x:c r="G181" s="16" t="str">
        <x:f>IF(A181="","",IF(AND(B181&lt;&gt;"",C181&lt;&gt;"",D181="支持",COUNTIF('问题归类'!$A$6:$A$35,B181)=1,COUNTIFS('评论证据'!$D$6:$D$205,C181,'评论证据'!$T$6:$T$205,1,'评论证据'!$C$6:$C$205,"研究")&gt;0,COUNTIFS($B$6:B181,B181,$C$6:C181,C181,$D$6:D181,"支持")=1),IF(INDEX('问题归类'!$G$6:$G$35,MATCH(B181,'问题归类'!$A$6:$A$35,0))="有效",1,0),0))</x:f>
      </x:c>
      <x:c r="H181" s="16" t="str">
        <x:f>IF(A181="","",IF(G181=1,IF(COUNTIFS($B$6:B181,B181,$F$6:F181,F181,$G$6:G181,1)=1,1,0),0))</x:f>
      </x:c>
      <x:c r="I181" s="16" t="str">
        <x:f>IF(A181="","",IF(AND(D181="反例",COUNTIF('问题归类'!$A$6:$A$35,B181)=1,COUNTIF('评论证据'!$AA$6:$AA$205,C181)&gt;0,COUNTIFS($B$6:B181,B181,$C$6:C181,C181,$D$6:D181,"反例")=1),1,0))</x:f>
      </x:c>
      <x:c r="J181" s="16" t="str">
        <x:f>IF(A181="","",IF(COUNTIF('问题归类'!$A$6:$A$35,B181)&lt;&gt;1,"问题编号缺失或重复",IF(COUNTIF('评论证据'!$D$6:$D$205,C181)=0,"评论编号缺失",IF(COUNTIFS($B$6:B181,B181,$C$6:C181,C181,$D$6:D181,D181)&gt;1,"重复关联不重复计数",""))))</x:f>
      </x:c>
    </x:row>
    <x:row r="182" ht="36" customHeight="1">
      <x:c r="A182" s="11"/>
      <x:c r="B182" s="11"/>
      <x:c r="C182" s="11"/>
      <x:c r="D182" s="11"/>
      <x:c r="E182" s="11"/>
      <x:c r="F182" s="16" t="str">
        <x:f>IF(A182="","",IF(COUNTIF('评论证据'!$AA$6:$AA$205,C182)=0,"缺可定位研究评论",INDEX('评论证据'!$E$6:$E$205,MATCH(C182,'评论证据'!$AA$6:$AA$205,0))))</x:f>
      </x:c>
      <x:c r="G182" s="16" t="str">
        <x:f>IF(A182="","",IF(AND(B182&lt;&gt;"",C182&lt;&gt;"",D182="支持",COUNTIF('问题归类'!$A$6:$A$35,B182)=1,COUNTIFS('评论证据'!$D$6:$D$205,C182,'评论证据'!$T$6:$T$205,1,'评论证据'!$C$6:$C$205,"研究")&gt;0,COUNTIFS($B$6:B182,B182,$C$6:C182,C182,$D$6:D182,"支持")=1),IF(INDEX('问题归类'!$G$6:$G$35,MATCH(B182,'问题归类'!$A$6:$A$35,0))="有效",1,0),0))</x:f>
      </x:c>
      <x:c r="H182" s="16" t="str">
        <x:f>IF(A182="","",IF(G182=1,IF(COUNTIFS($B$6:B182,B182,$F$6:F182,F182,$G$6:G182,1)=1,1,0),0))</x:f>
      </x:c>
      <x:c r="I182" s="16" t="str">
        <x:f>IF(A182="","",IF(AND(D182="反例",COUNTIF('问题归类'!$A$6:$A$35,B182)=1,COUNTIF('评论证据'!$AA$6:$AA$205,C182)&gt;0,COUNTIFS($B$6:B182,B182,$C$6:C182,C182,$D$6:D182,"反例")=1),1,0))</x:f>
      </x:c>
      <x:c r="J182" s="16" t="str">
        <x:f>IF(A182="","",IF(COUNTIF('问题归类'!$A$6:$A$35,B182)&lt;&gt;1,"问题编号缺失或重复",IF(COUNTIF('评论证据'!$D$6:$D$205,C182)=0,"评论编号缺失",IF(COUNTIFS($B$6:B182,B182,$C$6:C182,C182,$D$6:D182,D182)&gt;1,"重复关联不重复计数",""))))</x:f>
      </x:c>
    </x:row>
    <x:row r="183" ht="36" customHeight="1">
      <x:c r="A183" s="11"/>
      <x:c r="B183" s="11"/>
      <x:c r="C183" s="11"/>
      <x:c r="D183" s="11"/>
      <x:c r="E183" s="11"/>
      <x:c r="F183" s="16" t="str">
        <x:f>IF(A183="","",IF(COUNTIF('评论证据'!$AA$6:$AA$205,C183)=0,"缺可定位研究评论",INDEX('评论证据'!$E$6:$E$205,MATCH(C183,'评论证据'!$AA$6:$AA$205,0))))</x:f>
      </x:c>
      <x:c r="G183" s="16" t="str">
        <x:f>IF(A183="","",IF(AND(B183&lt;&gt;"",C183&lt;&gt;"",D183="支持",COUNTIF('问题归类'!$A$6:$A$35,B183)=1,COUNTIFS('评论证据'!$D$6:$D$205,C183,'评论证据'!$T$6:$T$205,1,'评论证据'!$C$6:$C$205,"研究")&gt;0,COUNTIFS($B$6:B183,B183,$C$6:C183,C183,$D$6:D183,"支持")=1),IF(INDEX('问题归类'!$G$6:$G$35,MATCH(B183,'问题归类'!$A$6:$A$35,0))="有效",1,0),0))</x:f>
      </x:c>
      <x:c r="H183" s="16" t="str">
        <x:f>IF(A183="","",IF(G183=1,IF(COUNTIFS($B$6:B183,B183,$F$6:F183,F183,$G$6:G183,1)=1,1,0),0))</x:f>
      </x:c>
      <x:c r="I183" s="16" t="str">
        <x:f>IF(A183="","",IF(AND(D183="反例",COUNTIF('问题归类'!$A$6:$A$35,B183)=1,COUNTIF('评论证据'!$AA$6:$AA$205,C183)&gt;0,COUNTIFS($B$6:B183,B183,$C$6:C183,C183,$D$6:D183,"反例")=1),1,0))</x:f>
      </x:c>
      <x:c r="J183" s="16" t="str">
        <x:f>IF(A183="","",IF(COUNTIF('问题归类'!$A$6:$A$35,B183)&lt;&gt;1,"问题编号缺失或重复",IF(COUNTIF('评论证据'!$D$6:$D$205,C183)=0,"评论编号缺失",IF(COUNTIFS($B$6:B183,B183,$C$6:C183,C183,$D$6:D183,D183)&gt;1,"重复关联不重复计数",""))))</x:f>
      </x:c>
    </x:row>
    <x:row r="184" ht="36" customHeight="1">
      <x:c r="A184" s="11"/>
      <x:c r="B184" s="11"/>
      <x:c r="C184" s="11"/>
      <x:c r="D184" s="11"/>
      <x:c r="E184" s="11"/>
      <x:c r="F184" s="16" t="str">
        <x:f>IF(A184="","",IF(COUNTIF('评论证据'!$AA$6:$AA$205,C184)=0,"缺可定位研究评论",INDEX('评论证据'!$E$6:$E$205,MATCH(C184,'评论证据'!$AA$6:$AA$205,0))))</x:f>
      </x:c>
      <x:c r="G184" s="16" t="str">
        <x:f>IF(A184="","",IF(AND(B184&lt;&gt;"",C184&lt;&gt;"",D184="支持",COUNTIF('问题归类'!$A$6:$A$35,B184)=1,COUNTIFS('评论证据'!$D$6:$D$205,C184,'评论证据'!$T$6:$T$205,1,'评论证据'!$C$6:$C$205,"研究")&gt;0,COUNTIFS($B$6:B184,B184,$C$6:C184,C184,$D$6:D184,"支持")=1),IF(INDEX('问题归类'!$G$6:$G$35,MATCH(B184,'问题归类'!$A$6:$A$35,0))="有效",1,0),0))</x:f>
      </x:c>
      <x:c r="H184" s="16" t="str">
        <x:f>IF(A184="","",IF(G184=1,IF(COUNTIFS($B$6:B184,B184,$F$6:F184,F184,$G$6:G184,1)=1,1,0),0))</x:f>
      </x:c>
      <x:c r="I184" s="16" t="str">
        <x:f>IF(A184="","",IF(AND(D184="反例",COUNTIF('问题归类'!$A$6:$A$35,B184)=1,COUNTIF('评论证据'!$AA$6:$AA$205,C184)&gt;0,COUNTIFS($B$6:B184,B184,$C$6:C184,C184,$D$6:D184,"反例")=1),1,0))</x:f>
      </x:c>
      <x:c r="J184" s="16" t="str">
        <x:f>IF(A184="","",IF(COUNTIF('问题归类'!$A$6:$A$35,B184)&lt;&gt;1,"问题编号缺失或重复",IF(COUNTIF('评论证据'!$D$6:$D$205,C184)=0,"评论编号缺失",IF(COUNTIFS($B$6:B184,B184,$C$6:C184,C184,$D$6:D184,D184)&gt;1,"重复关联不重复计数",""))))</x:f>
      </x:c>
    </x:row>
    <x:row r="185" ht="36" customHeight="1">
      <x:c r="A185" s="11"/>
      <x:c r="B185" s="11"/>
      <x:c r="C185" s="11"/>
      <x:c r="D185" s="11"/>
      <x:c r="E185" s="11"/>
      <x:c r="F185" s="16" t="str">
        <x:f>IF(A185="","",IF(COUNTIF('评论证据'!$AA$6:$AA$205,C185)=0,"缺可定位研究评论",INDEX('评论证据'!$E$6:$E$205,MATCH(C185,'评论证据'!$AA$6:$AA$205,0))))</x:f>
      </x:c>
      <x:c r="G185" s="16" t="str">
        <x:f>IF(A185="","",IF(AND(B185&lt;&gt;"",C185&lt;&gt;"",D185="支持",COUNTIF('问题归类'!$A$6:$A$35,B185)=1,COUNTIFS('评论证据'!$D$6:$D$205,C185,'评论证据'!$T$6:$T$205,1,'评论证据'!$C$6:$C$205,"研究")&gt;0,COUNTIFS($B$6:B185,B185,$C$6:C185,C185,$D$6:D185,"支持")=1),IF(INDEX('问题归类'!$G$6:$G$35,MATCH(B185,'问题归类'!$A$6:$A$35,0))="有效",1,0),0))</x:f>
      </x:c>
      <x:c r="H185" s="16" t="str">
        <x:f>IF(A185="","",IF(G185=1,IF(COUNTIFS($B$6:B185,B185,$F$6:F185,F185,$G$6:G185,1)=1,1,0),0))</x:f>
      </x:c>
      <x:c r="I185" s="16" t="str">
        <x:f>IF(A185="","",IF(AND(D185="反例",COUNTIF('问题归类'!$A$6:$A$35,B185)=1,COUNTIF('评论证据'!$AA$6:$AA$205,C185)&gt;0,COUNTIFS($B$6:B185,B185,$C$6:C185,C185,$D$6:D185,"反例")=1),1,0))</x:f>
      </x:c>
      <x:c r="J185" s="16" t="str">
        <x:f>IF(A185="","",IF(COUNTIF('问题归类'!$A$6:$A$35,B185)&lt;&gt;1,"问题编号缺失或重复",IF(COUNTIF('评论证据'!$D$6:$D$205,C185)=0,"评论编号缺失",IF(COUNTIFS($B$6:B185,B185,$C$6:C185,C185,$D$6:D185,D185)&gt;1,"重复关联不重复计数",""))))</x:f>
      </x:c>
    </x:row>
    <x:row r="186" ht="36" customHeight="1">
      <x:c r="A186" s="11"/>
      <x:c r="B186" s="11"/>
      <x:c r="C186" s="11"/>
      <x:c r="D186" s="11"/>
      <x:c r="E186" s="11"/>
      <x:c r="F186" s="16" t="str">
        <x:f>IF(A186="","",IF(COUNTIF('评论证据'!$AA$6:$AA$205,C186)=0,"缺可定位研究评论",INDEX('评论证据'!$E$6:$E$205,MATCH(C186,'评论证据'!$AA$6:$AA$205,0))))</x:f>
      </x:c>
      <x:c r="G186" s="16" t="str">
        <x:f>IF(A186="","",IF(AND(B186&lt;&gt;"",C186&lt;&gt;"",D186="支持",COUNTIF('问题归类'!$A$6:$A$35,B186)=1,COUNTIFS('评论证据'!$D$6:$D$205,C186,'评论证据'!$T$6:$T$205,1,'评论证据'!$C$6:$C$205,"研究")&gt;0,COUNTIFS($B$6:B186,B186,$C$6:C186,C186,$D$6:D186,"支持")=1),IF(INDEX('问题归类'!$G$6:$G$35,MATCH(B186,'问题归类'!$A$6:$A$35,0))="有效",1,0),0))</x:f>
      </x:c>
      <x:c r="H186" s="16" t="str">
        <x:f>IF(A186="","",IF(G186=1,IF(COUNTIFS($B$6:B186,B186,$F$6:F186,F186,$G$6:G186,1)=1,1,0),0))</x:f>
      </x:c>
      <x:c r="I186" s="16" t="str">
        <x:f>IF(A186="","",IF(AND(D186="反例",COUNTIF('问题归类'!$A$6:$A$35,B186)=1,COUNTIF('评论证据'!$AA$6:$AA$205,C186)&gt;0,COUNTIFS($B$6:B186,B186,$C$6:C186,C186,$D$6:D186,"反例")=1),1,0))</x:f>
      </x:c>
      <x:c r="J186" s="16" t="str">
        <x:f>IF(A186="","",IF(COUNTIF('问题归类'!$A$6:$A$35,B186)&lt;&gt;1,"问题编号缺失或重复",IF(COUNTIF('评论证据'!$D$6:$D$205,C186)=0,"评论编号缺失",IF(COUNTIFS($B$6:B186,B186,$C$6:C186,C186,$D$6:D186,D186)&gt;1,"重复关联不重复计数",""))))</x:f>
      </x:c>
    </x:row>
    <x:row r="187" ht="36" customHeight="1">
      <x:c r="A187" s="11"/>
      <x:c r="B187" s="11"/>
      <x:c r="C187" s="11"/>
      <x:c r="D187" s="11"/>
      <x:c r="E187" s="11"/>
      <x:c r="F187" s="16" t="str">
        <x:f>IF(A187="","",IF(COUNTIF('评论证据'!$AA$6:$AA$205,C187)=0,"缺可定位研究评论",INDEX('评论证据'!$E$6:$E$205,MATCH(C187,'评论证据'!$AA$6:$AA$205,0))))</x:f>
      </x:c>
      <x:c r="G187" s="16" t="str">
        <x:f>IF(A187="","",IF(AND(B187&lt;&gt;"",C187&lt;&gt;"",D187="支持",COUNTIF('问题归类'!$A$6:$A$35,B187)=1,COUNTIFS('评论证据'!$D$6:$D$205,C187,'评论证据'!$T$6:$T$205,1,'评论证据'!$C$6:$C$205,"研究")&gt;0,COUNTIFS($B$6:B187,B187,$C$6:C187,C187,$D$6:D187,"支持")=1),IF(INDEX('问题归类'!$G$6:$G$35,MATCH(B187,'问题归类'!$A$6:$A$35,0))="有效",1,0),0))</x:f>
      </x:c>
      <x:c r="H187" s="16" t="str">
        <x:f>IF(A187="","",IF(G187=1,IF(COUNTIFS($B$6:B187,B187,$F$6:F187,F187,$G$6:G187,1)=1,1,0),0))</x:f>
      </x:c>
      <x:c r="I187" s="16" t="str">
        <x:f>IF(A187="","",IF(AND(D187="反例",COUNTIF('问题归类'!$A$6:$A$35,B187)=1,COUNTIF('评论证据'!$AA$6:$AA$205,C187)&gt;0,COUNTIFS($B$6:B187,B187,$C$6:C187,C187,$D$6:D187,"反例")=1),1,0))</x:f>
      </x:c>
      <x:c r="J187" s="16" t="str">
        <x:f>IF(A187="","",IF(COUNTIF('问题归类'!$A$6:$A$35,B187)&lt;&gt;1,"问题编号缺失或重复",IF(COUNTIF('评论证据'!$D$6:$D$205,C187)=0,"评论编号缺失",IF(COUNTIFS($B$6:B187,B187,$C$6:C187,C187,$D$6:D187,D187)&gt;1,"重复关联不重复计数",""))))</x:f>
      </x:c>
    </x:row>
    <x:row r="188" ht="36" customHeight="1">
      <x:c r="A188" s="11"/>
      <x:c r="B188" s="11"/>
      <x:c r="C188" s="11"/>
      <x:c r="D188" s="11"/>
      <x:c r="E188" s="11"/>
      <x:c r="F188" s="16" t="str">
        <x:f>IF(A188="","",IF(COUNTIF('评论证据'!$AA$6:$AA$205,C188)=0,"缺可定位研究评论",INDEX('评论证据'!$E$6:$E$205,MATCH(C188,'评论证据'!$AA$6:$AA$205,0))))</x:f>
      </x:c>
      <x:c r="G188" s="16" t="str">
        <x:f>IF(A188="","",IF(AND(B188&lt;&gt;"",C188&lt;&gt;"",D188="支持",COUNTIF('问题归类'!$A$6:$A$35,B188)=1,COUNTIFS('评论证据'!$D$6:$D$205,C188,'评论证据'!$T$6:$T$205,1,'评论证据'!$C$6:$C$205,"研究")&gt;0,COUNTIFS($B$6:B188,B188,$C$6:C188,C188,$D$6:D188,"支持")=1),IF(INDEX('问题归类'!$G$6:$G$35,MATCH(B188,'问题归类'!$A$6:$A$35,0))="有效",1,0),0))</x:f>
      </x:c>
      <x:c r="H188" s="16" t="str">
        <x:f>IF(A188="","",IF(G188=1,IF(COUNTIFS($B$6:B188,B188,$F$6:F188,F188,$G$6:G188,1)=1,1,0),0))</x:f>
      </x:c>
      <x:c r="I188" s="16" t="str">
        <x:f>IF(A188="","",IF(AND(D188="反例",COUNTIF('问题归类'!$A$6:$A$35,B188)=1,COUNTIF('评论证据'!$AA$6:$AA$205,C188)&gt;0,COUNTIFS($B$6:B188,B188,$C$6:C188,C188,$D$6:D188,"反例")=1),1,0))</x:f>
      </x:c>
      <x:c r="J188" s="16" t="str">
        <x:f>IF(A188="","",IF(COUNTIF('问题归类'!$A$6:$A$35,B188)&lt;&gt;1,"问题编号缺失或重复",IF(COUNTIF('评论证据'!$D$6:$D$205,C188)=0,"评论编号缺失",IF(COUNTIFS($B$6:B188,B188,$C$6:C188,C188,$D$6:D188,D188)&gt;1,"重复关联不重复计数",""))))</x:f>
      </x:c>
    </x:row>
    <x:row r="189" ht="36" customHeight="1">
      <x:c r="A189" s="11"/>
      <x:c r="B189" s="11"/>
      <x:c r="C189" s="11"/>
      <x:c r="D189" s="11"/>
      <x:c r="E189" s="11"/>
      <x:c r="F189" s="16" t="str">
        <x:f>IF(A189="","",IF(COUNTIF('评论证据'!$AA$6:$AA$205,C189)=0,"缺可定位研究评论",INDEX('评论证据'!$E$6:$E$205,MATCH(C189,'评论证据'!$AA$6:$AA$205,0))))</x:f>
      </x:c>
      <x:c r="G189" s="16" t="str">
        <x:f>IF(A189="","",IF(AND(B189&lt;&gt;"",C189&lt;&gt;"",D189="支持",COUNTIF('问题归类'!$A$6:$A$35,B189)=1,COUNTIFS('评论证据'!$D$6:$D$205,C189,'评论证据'!$T$6:$T$205,1,'评论证据'!$C$6:$C$205,"研究")&gt;0,COUNTIFS($B$6:B189,B189,$C$6:C189,C189,$D$6:D189,"支持")=1),IF(INDEX('问题归类'!$G$6:$G$35,MATCH(B189,'问题归类'!$A$6:$A$35,0))="有效",1,0),0))</x:f>
      </x:c>
      <x:c r="H189" s="16" t="str">
        <x:f>IF(A189="","",IF(G189=1,IF(COUNTIFS($B$6:B189,B189,$F$6:F189,F189,$G$6:G189,1)=1,1,0),0))</x:f>
      </x:c>
      <x:c r="I189" s="16" t="str">
        <x:f>IF(A189="","",IF(AND(D189="反例",COUNTIF('问题归类'!$A$6:$A$35,B189)=1,COUNTIF('评论证据'!$AA$6:$AA$205,C189)&gt;0,COUNTIFS($B$6:B189,B189,$C$6:C189,C189,$D$6:D189,"反例")=1),1,0))</x:f>
      </x:c>
      <x:c r="J189" s="16" t="str">
        <x:f>IF(A189="","",IF(COUNTIF('问题归类'!$A$6:$A$35,B189)&lt;&gt;1,"问题编号缺失或重复",IF(COUNTIF('评论证据'!$D$6:$D$205,C189)=0,"评论编号缺失",IF(COUNTIFS($B$6:B189,B189,$C$6:C189,C189,$D$6:D189,D189)&gt;1,"重复关联不重复计数",""))))</x:f>
      </x:c>
    </x:row>
    <x:row r="190" ht="36" customHeight="1">
      <x:c r="A190" s="11"/>
      <x:c r="B190" s="11"/>
      <x:c r="C190" s="11"/>
      <x:c r="D190" s="11"/>
      <x:c r="E190" s="11"/>
      <x:c r="F190" s="16" t="str">
        <x:f>IF(A190="","",IF(COUNTIF('评论证据'!$AA$6:$AA$205,C190)=0,"缺可定位研究评论",INDEX('评论证据'!$E$6:$E$205,MATCH(C190,'评论证据'!$AA$6:$AA$205,0))))</x:f>
      </x:c>
      <x:c r="G190" s="16" t="str">
        <x:f>IF(A190="","",IF(AND(B190&lt;&gt;"",C190&lt;&gt;"",D190="支持",COUNTIF('问题归类'!$A$6:$A$35,B190)=1,COUNTIFS('评论证据'!$D$6:$D$205,C190,'评论证据'!$T$6:$T$205,1,'评论证据'!$C$6:$C$205,"研究")&gt;0,COUNTIFS($B$6:B190,B190,$C$6:C190,C190,$D$6:D190,"支持")=1),IF(INDEX('问题归类'!$G$6:$G$35,MATCH(B190,'问题归类'!$A$6:$A$35,0))="有效",1,0),0))</x:f>
      </x:c>
      <x:c r="H190" s="16" t="str">
        <x:f>IF(A190="","",IF(G190=1,IF(COUNTIFS($B$6:B190,B190,$F$6:F190,F190,$G$6:G190,1)=1,1,0),0))</x:f>
      </x:c>
      <x:c r="I190" s="16" t="str">
        <x:f>IF(A190="","",IF(AND(D190="反例",COUNTIF('问题归类'!$A$6:$A$35,B190)=1,COUNTIF('评论证据'!$AA$6:$AA$205,C190)&gt;0,COUNTIFS($B$6:B190,B190,$C$6:C190,C190,$D$6:D190,"反例")=1),1,0))</x:f>
      </x:c>
      <x:c r="J190" s="16" t="str">
        <x:f>IF(A190="","",IF(COUNTIF('问题归类'!$A$6:$A$35,B190)&lt;&gt;1,"问题编号缺失或重复",IF(COUNTIF('评论证据'!$D$6:$D$205,C190)=0,"评论编号缺失",IF(COUNTIFS($B$6:B190,B190,$C$6:C190,C190,$D$6:D190,D190)&gt;1,"重复关联不重复计数",""))))</x:f>
      </x:c>
    </x:row>
    <x:row r="191" ht="36" customHeight="1">
      <x:c r="A191" s="11"/>
      <x:c r="B191" s="11"/>
      <x:c r="C191" s="11"/>
      <x:c r="D191" s="11"/>
      <x:c r="E191" s="11"/>
      <x:c r="F191" s="16" t="str">
        <x:f>IF(A191="","",IF(COUNTIF('评论证据'!$AA$6:$AA$205,C191)=0,"缺可定位研究评论",INDEX('评论证据'!$E$6:$E$205,MATCH(C191,'评论证据'!$AA$6:$AA$205,0))))</x:f>
      </x:c>
      <x:c r="G191" s="16" t="str">
        <x:f>IF(A191="","",IF(AND(B191&lt;&gt;"",C191&lt;&gt;"",D191="支持",COUNTIF('问题归类'!$A$6:$A$35,B191)=1,COUNTIFS('评论证据'!$D$6:$D$205,C191,'评论证据'!$T$6:$T$205,1,'评论证据'!$C$6:$C$205,"研究")&gt;0,COUNTIFS($B$6:B191,B191,$C$6:C191,C191,$D$6:D191,"支持")=1),IF(INDEX('问题归类'!$G$6:$G$35,MATCH(B191,'问题归类'!$A$6:$A$35,0))="有效",1,0),0))</x:f>
      </x:c>
      <x:c r="H191" s="16" t="str">
        <x:f>IF(A191="","",IF(G191=1,IF(COUNTIFS($B$6:B191,B191,$F$6:F191,F191,$G$6:G191,1)=1,1,0),0))</x:f>
      </x:c>
      <x:c r="I191" s="16" t="str">
        <x:f>IF(A191="","",IF(AND(D191="反例",COUNTIF('问题归类'!$A$6:$A$35,B191)=1,COUNTIF('评论证据'!$AA$6:$AA$205,C191)&gt;0,COUNTIFS($B$6:B191,B191,$C$6:C191,C191,$D$6:D191,"反例")=1),1,0))</x:f>
      </x:c>
      <x:c r="J191" s="16" t="str">
        <x:f>IF(A191="","",IF(COUNTIF('问题归类'!$A$6:$A$35,B191)&lt;&gt;1,"问题编号缺失或重复",IF(COUNTIF('评论证据'!$D$6:$D$205,C191)=0,"评论编号缺失",IF(COUNTIFS($B$6:B191,B191,$C$6:C191,C191,$D$6:D191,D191)&gt;1,"重复关联不重复计数",""))))</x:f>
      </x:c>
    </x:row>
    <x:row r="192" ht="36" customHeight="1">
      <x:c r="A192" s="11"/>
      <x:c r="B192" s="11"/>
      <x:c r="C192" s="11"/>
      <x:c r="D192" s="11"/>
      <x:c r="E192" s="11"/>
      <x:c r="F192" s="16" t="str">
        <x:f>IF(A192="","",IF(COUNTIF('评论证据'!$AA$6:$AA$205,C192)=0,"缺可定位研究评论",INDEX('评论证据'!$E$6:$E$205,MATCH(C192,'评论证据'!$AA$6:$AA$205,0))))</x:f>
      </x:c>
      <x:c r="G192" s="16" t="str">
        <x:f>IF(A192="","",IF(AND(B192&lt;&gt;"",C192&lt;&gt;"",D192="支持",COUNTIF('问题归类'!$A$6:$A$35,B192)=1,COUNTIFS('评论证据'!$D$6:$D$205,C192,'评论证据'!$T$6:$T$205,1,'评论证据'!$C$6:$C$205,"研究")&gt;0,COUNTIFS($B$6:B192,B192,$C$6:C192,C192,$D$6:D192,"支持")=1),IF(INDEX('问题归类'!$G$6:$G$35,MATCH(B192,'问题归类'!$A$6:$A$35,0))="有效",1,0),0))</x:f>
      </x:c>
      <x:c r="H192" s="16" t="str">
        <x:f>IF(A192="","",IF(G192=1,IF(COUNTIFS($B$6:B192,B192,$F$6:F192,F192,$G$6:G192,1)=1,1,0),0))</x:f>
      </x:c>
      <x:c r="I192" s="16" t="str">
        <x:f>IF(A192="","",IF(AND(D192="反例",COUNTIF('问题归类'!$A$6:$A$35,B192)=1,COUNTIF('评论证据'!$AA$6:$AA$205,C192)&gt;0,COUNTIFS($B$6:B192,B192,$C$6:C192,C192,$D$6:D192,"反例")=1),1,0))</x:f>
      </x:c>
      <x:c r="J192" s="16" t="str">
        <x:f>IF(A192="","",IF(COUNTIF('问题归类'!$A$6:$A$35,B192)&lt;&gt;1,"问题编号缺失或重复",IF(COUNTIF('评论证据'!$D$6:$D$205,C192)=0,"评论编号缺失",IF(COUNTIFS($B$6:B192,B192,$C$6:C192,C192,$D$6:D192,D192)&gt;1,"重复关联不重复计数",""))))</x:f>
      </x:c>
    </x:row>
    <x:row r="193" ht="36" customHeight="1">
      <x:c r="A193" s="11"/>
      <x:c r="B193" s="11"/>
      <x:c r="C193" s="11"/>
      <x:c r="D193" s="11"/>
      <x:c r="E193" s="11"/>
      <x:c r="F193" s="16" t="str">
        <x:f>IF(A193="","",IF(COUNTIF('评论证据'!$AA$6:$AA$205,C193)=0,"缺可定位研究评论",INDEX('评论证据'!$E$6:$E$205,MATCH(C193,'评论证据'!$AA$6:$AA$205,0))))</x:f>
      </x:c>
      <x:c r="G193" s="16" t="str">
        <x:f>IF(A193="","",IF(AND(B193&lt;&gt;"",C193&lt;&gt;"",D193="支持",COUNTIF('问题归类'!$A$6:$A$35,B193)=1,COUNTIFS('评论证据'!$D$6:$D$205,C193,'评论证据'!$T$6:$T$205,1,'评论证据'!$C$6:$C$205,"研究")&gt;0,COUNTIFS($B$6:B193,B193,$C$6:C193,C193,$D$6:D193,"支持")=1),IF(INDEX('问题归类'!$G$6:$G$35,MATCH(B193,'问题归类'!$A$6:$A$35,0))="有效",1,0),0))</x:f>
      </x:c>
      <x:c r="H193" s="16" t="str">
        <x:f>IF(A193="","",IF(G193=1,IF(COUNTIFS($B$6:B193,B193,$F$6:F193,F193,$G$6:G193,1)=1,1,0),0))</x:f>
      </x:c>
      <x:c r="I193" s="16" t="str">
        <x:f>IF(A193="","",IF(AND(D193="反例",COUNTIF('问题归类'!$A$6:$A$35,B193)=1,COUNTIF('评论证据'!$AA$6:$AA$205,C193)&gt;0,COUNTIFS($B$6:B193,B193,$C$6:C193,C193,$D$6:D193,"反例")=1),1,0))</x:f>
      </x:c>
      <x:c r="J193" s="16" t="str">
        <x:f>IF(A193="","",IF(COUNTIF('问题归类'!$A$6:$A$35,B193)&lt;&gt;1,"问题编号缺失或重复",IF(COUNTIF('评论证据'!$D$6:$D$205,C193)=0,"评论编号缺失",IF(COUNTIFS($B$6:B193,B193,$C$6:C193,C193,$D$6:D193,D193)&gt;1,"重复关联不重复计数",""))))</x:f>
      </x:c>
    </x:row>
    <x:row r="194" ht="36" customHeight="1">
      <x:c r="A194" s="11"/>
      <x:c r="B194" s="11"/>
      <x:c r="C194" s="11"/>
      <x:c r="D194" s="11"/>
      <x:c r="E194" s="11"/>
      <x:c r="F194" s="16" t="str">
        <x:f>IF(A194="","",IF(COUNTIF('评论证据'!$AA$6:$AA$205,C194)=0,"缺可定位研究评论",INDEX('评论证据'!$E$6:$E$205,MATCH(C194,'评论证据'!$AA$6:$AA$205,0))))</x:f>
      </x:c>
      <x:c r="G194" s="16" t="str">
        <x:f>IF(A194="","",IF(AND(B194&lt;&gt;"",C194&lt;&gt;"",D194="支持",COUNTIF('问题归类'!$A$6:$A$35,B194)=1,COUNTIFS('评论证据'!$D$6:$D$205,C194,'评论证据'!$T$6:$T$205,1,'评论证据'!$C$6:$C$205,"研究")&gt;0,COUNTIFS($B$6:B194,B194,$C$6:C194,C194,$D$6:D194,"支持")=1),IF(INDEX('问题归类'!$G$6:$G$35,MATCH(B194,'问题归类'!$A$6:$A$35,0))="有效",1,0),0))</x:f>
      </x:c>
      <x:c r="H194" s="16" t="str">
        <x:f>IF(A194="","",IF(G194=1,IF(COUNTIFS($B$6:B194,B194,$F$6:F194,F194,$G$6:G194,1)=1,1,0),0))</x:f>
      </x:c>
      <x:c r="I194" s="16" t="str">
        <x:f>IF(A194="","",IF(AND(D194="反例",COUNTIF('问题归类'!$A$6:$A$35,B194)=1,COUNTIF('评论证据'!$AA$6:$AA$205,C194)&gt;0,COUNTIFS($B$6:B194,B194,$C$6:C194,C194,$D$6:D194,"反例")=1),1,0))</x:f>
      </x:c>
      <x:c r="J194" s="16" t="str">
        <x:f>IF(A194="","",IF(COUNTIF('问题归类'!$A$6:$A$35,B194)&lt;&gt;1,"问题编号缺失或重复",IF(COUNTIF('评论证据'!$D$6:$D$205,C194)=0,"评论编号缺失",IF(COUNTIFS($B$6:B194,B194,$C$6:C194,C194,$D$6:D194,D194)&gt;1,"重复关联不重复计数",""))))</x:f>
      </x:c>
    </x:row>
    <x:row r="195" ht="36" customHeight="1">
      <x:c r="A195" s="11"/>
      <x:c r="B195" s="11"/>
      <x:c r="C195" s="11"/>
      <x:c r="D195" s="11"/>
      <x:c r="E195" s="11"/>
      <x:c r="F195" s="16" t="str">
        <x:f>IF(A195="","",IF(COUNTIF('评论证据'!$AA$6:$AA$205,C195)=0,"缺可定位研究评论",INDEX('评论证据'!$E$6:$E$205,MATCH(C195,'评论证据'!$AA$6:$AA$205,0))))</x:f>
      </x:c>
      <x:c r="G195" s="16" t="str">
        <x:f>IF(A195="","",IF(AND(B195&lt;&gt;"",C195&lt;&gt;"",D195="支持",COUNTIF('问题归类'!$A$6:$A$35,B195)=1,COUNTIFS('评论证据'!$D$6:$D$205,C195,'评论证据'!$T$6:$T$205,1,'评论证据'!$C$6:$C$205,"研究")&gt;0,COUNTIFS($B$6:B195,B195,$C$6:C195,C195,$D$6:D195,"支持")=1),IF(INDEX('问题归类'!$G$6:$G$35,MATCH(B195,'问题归类'!$A$6:$A$35,0))="有效",1,0),0))</x:f>
      </x:c>
      <x:c r="H195" s="16" t="str">
        <x:f>IF(A195="","",IF(G195=1,IF(COUNTIFS($B$6:B195,B195,$F$6:F195,F195,$G$6:G195,1)=1,1,0),0))</x:f>
      </x:c>
      <x:c r="I195" s="16" t="str">
        <x:f>IF(A195="","",IF(AND(D195="反例",COUNTIF('问题归类'!$A$6:$A$35,B195)=1,COUNTIF('评论证据'!$AA$6:$AA$205,C195)&gt;0,COUNTIFS($B$6:B195,B195,$C$6:C195,C195,$D$6:D195,"反例")=1),1,0))</x:f>
      </x:c>
      <x:c r="J195" s="16" t="str">
        <x:f>IF(A195="","",IF(COUNTIF('问题归类'!$A$6:$A$35,B195)&lt;&gt;1,"问题编号缺失或重复",IF(COUNTIF('评论证据'!$D$6:$D$205,C195)=0,"评论编号缺失",IF(COUNTIFS($B$6:B195,B195,$C$6:C195,C195,$D$6:D195,D195)&gt;1,"重复关联不重复计数",""))))</x:f>
      </x:c>
    </x:row>
    <x:row r="196" ht="36" customHeight="1">
      <x:c r="A196" s="11"/>
      <x:c r="B196" s="11"/>
      <x:c r="C196" s="11"/>
      <x:c r="D196" s="11"/>
      <x:c r="E196" s="11"/>
      <x:c r="F196" s="16" t="str">
        <x:f>IF(A196="","",IF(COUNTIF('评论证据'!$AA$6:$AA$205,C196)=0,"缺可定位研究评论",INDEX('评论证据'!$E$6:$E$205,MATCH(C196,'评论证据'!$AA$6:$AA$205,0))))</x:f>
      </x:c>
      <x:c r="G196" s="16" t="str">
        <x:f>IF(A196="","",IF(AND(B196&lt;&gt;"",C196&lt;&gt;"",D196="支持",COUNTIF('问题归类'!$A$6:$A$35,B196)=1,COUNTIFS('评论证据'!$D$6:$D$205,C196,'评论证据'!$T$6:$T$205,1,'评论证据'!$C$6:$C$205,"研究")&gt;0,COUNTIFS($B$6:B196,B196,$C$6:C196,C196,$D$6:D196,"支持")=1),IF(INDEX('问题归类'!$G$6:$G$35,MATCH(B196,'问题归类'!$A$6:$A$35,0))="有效",1,0),0))</x:f>
      </x:c>
      <x:c r="H196" s="16" t="str">
        <x:f>IF(A196="","",IF(G196=1,IF(COUNTIFS($B$6:B196,B196,$F$6:F196,F196,$G$6:G196,1)=1,1,0),0))</x:f>
      </x:c>
      <x:c r="I196" s="16" t="str">
        <x:f>IF(A196="","",IF(AND(D196="反例",COUNTIF('问题归类'!$A$6:$A$35,B196)=1,COUNTIF('评论证据'!$AA$6:$AA$205,C196)&gt;0,COUNTIFS($B$6:B196,B196,$C$6:C196,C196,$D$6:D196,"反例")=1),1,0))</x:f>
      </x:c>
      <x:c r="J196" s="16" t="str">
        <x:f>IF(A196="","",IF(COUNTIF('问题归类'!$A$6:$A$35,B196)&lt;&gt;1,"问题编号缺失或重复",IF(COUNTIF('评论证据'!$D$6:$D$205,C196)=0,"评论编号缺失",IF(COUNTIFS($B$6:B196,B196,$C$6:C196,C196,$D$6:D196,D196)&gt;1,"重复关联不重复计数",""))))</x:f>
      </x:c>
    </x:row>
    <x:row r="197" ht="36" customHeight="1">
      <x:c r="A197" s="11"/>
      <x:c r="B197" s="11"/>
      <x:c r="C197" s="11"/>
      <x:c r="D197" s="11"/>
      <x:c r="E197" s="11"/>
      <x:c r="F197" s="16" t="str">
        <x:f>IF(A197="","",IF(COUNTIF('评论证据'!$AA$6:$AA$205,C197)=0,"缺可定位研究评论",INDEX('评论证据'!$E$6:$E$205,MATCH(C197,'评论证据'!$AA$6:$AA$205,0))))</x:f>
      </x:c>
      <x:c r="G197" s="16" t="str">
        <x:f>IF(A197="","",IF(AND(B197&lt;&gt;"",C197&lt;&gt;"",D197="支持",COUNTIF('问题归类'!$A$6:$A$35,B197)=1,COUNTIFS('评论证据'!$D$6:$D$205,C197,'评论证据'!$T$6:$T$205,1,'评论证据'!$C$6:$C$205,"研究")&gt;0,COUNTIFS($B$6:B197,B197,$C$6:C197,C197,$D$6:D197,"支持")=1),IF(INDEX('问题归类'!$G$6:$G$35,MATCH(B197,'问题归类'!$A$6:$A$35,0))="有效",1,0),0))</x:f>
      </x:c>
      <x:c r="H197" s="16" t="str">
        <x:f>IF(A197="","",IF(G197=1,IF(COUNTIFS($B$6:B197,B197,$F$6:F197,F197,$G$6:G197,1)=1,1,0),0))</x:f>
      </x:c>
      <x:c r="I197" s="16" t="str">
        <x:f>IF(A197="","",IF(AND(D197="反例",COUNTIF('问题归类'!$A$6:$A$35,B197)=1,COUNTIF('评论证据'!$AA$6:$AA$205,C197)&gt;0,COUNTIFS($B$6:B197,B197,$C$6:C197,C197,$D$6:D197,"反例")=1),1,0))</x:f>
      </x:c>
      <x:c r="J197" s="16" t="str">
        <x:f>IF(A197="","",IF(COUNTIF('问题归类'!$A$6:$A$35,B197)&lt;&gt;1,"问题编号缺失或重复",IF(COUNTIF('评论证据'!$D$6:$D$205,C197)=0,"评论编号缺失",IF(COUNTIFS($B$6:B197,B197,$C$6:C197,C197,$D$6:D197,D197)&gt;1,"重复关联不重复计数",""))))</x:f>
      </x:c>
    </x:row>
    <x:row r="198" ht="36" customHeight="1">
      <x:c r="A198" s="11"/>
      <x:c r="B198" s="11"/>
      <x:c r="C198" s="11"/>
      <x:c r="D198" s="11"/>
      <x:c r="E198" s="11"/>
      <x:c r="F198" s="16" t="str">
        <x:f>IF(A198="","",IF(COUNTIF('评论证据'!$AA$6:$AA$205,C198)=0,"缺可定位研究评论",INDEX('评论证据'!$E$6:$E$205,MATCH(C198,'评论证据'!$AA$6:$AA$205,0))))</x:f>
      </x:c>
      <x:c r="G198" s="16" t="str">
        <x:f>IF(A198="","",IF(AND(B198&lt;&gt;"",C198&lt;&gt;"",D198="支持",COUNTIF('问题归类'!$A$6:$A$35,B198)=1,COUNTIFS('评论证据'!$D$6:$D$205,C198,'评论证据'!$T$6:$T$205,1,'评论证据'!$C$6:$C$205,"研究")&gt;0,COUNTIFS($B$6:B198,B198,$C$6:C198,C198,$D$6:D198,"支持")=1),IF(INDEX('问题归类'!$G$6:$G$35,MATCH(B198,'问题归类'!$A$6:$A$35,0))="有效",1,0),0))</x:f>
      </x:c>
      <x:c r="H198" s="16" t="str">
        <x:f>IF(A198="","",IF(G198=1,IF(COUNTIFS($B$6:B198,B198,$F$6:F198,F198,$G$6:G198,1)=1,1,0),0))</x:f>
      </x:c>
      <x:c r="I198" s="16" t="str">
        <x:f>IF(A198="","",IF(AND(D198="反例",COUNTIF('问题归类'!$A$6:$A$35,B198)=1,COUNTIF('评论证据'!$AA$6:$AA$205,C198)&gt;0,COUNTIFS($B$6:B198,B198,$C$6:C198,C198,$D$6:D198,"反例")=1),1,0))</x:f>
      </x:c>
      <x:c r="J198" s="16" t="str">
        <x:f>IF(A198="","",IF(COUNTIF('问题归类'!$A$6:$A$35,B198)&lt;&gt;1,"问题编号缺失或重复",IF(COUNTIF('评论证据'!$D$6:$D$205,C198)=0,"评论编号缺失",IF(COUNTIFS($B$6:B198,B198,$C$6:C198,C198,$D$6:D198,D198)&gt;1,"重复关联不重复计数",""))))</x:f>
      </x:c>
    </x:row>
    <x:row r="199" ht="36" customHeight="1">
      <x:c r="A199" s="11"/>
      <x:c r="B199" s="11"/>
      <x:c r="C199" s="11"/>
      <x:c r="D199" s="11"/>
      <x:c r="E199" s="11"/>
      <x:c r="F199" s="16" t="str">
        <x:f>IF(A199="","",IF(COUNTIF('评论证据'!$AA$6:$AA$205,C199)=0,"缺可定位研究评论",INDEX('评论证据'!$E$6:$E$205,MATCH(C199,'评论证据'!$AA$6:$AA$205,0))))</x:f>
      </x:c>
      <x:c r="G199" s="16" t="str">
        <x:f>IF(A199="","",IF(AND(B199&lt;&gt;"",C199&lt;&gt;"",D199="支持",COUNTIF('问题归类'!$A$6:$A$35,B199)=1,COUNTIFS('评论证据'!$D$6:$D$205,C199,'评论证据'!$T$6:$T$205,1,'评论证据'!$C$6:$C$205,"研究")&gt;0,COUNTIFS($B$6:B199,B199,$C$6:C199,C199,$D$6:D199,"支持")=1),IF(INDEX('问题归类'!$G$6:$G$35,MATCH(B199,'问题归类'!$A$6:$A$35,0))="有效",1,0),0))</x:f>
      </x:c>
      <x:c r="H199" s="16" t="str">
        <x:f>IF(A199="","",IF(G199=1,IF(COUNTIFS($B$6:B199,B199,$F$6:F199,F199,$G$6:G199,1)=1,1,0),0))</x:f>
      </x:c>
      <x:c r="I199" s="16" t="str">
        <x:f>IF(A199="","",IF(AND(D199="反例",COUNTIF('问题归类'!$A$6:$A$35,B199)=1,COUNTIF('评论证据'!$AA$6:$AA$205,C199)&gt;0,COUNTIFS($B$6:B199,B199,$C$6:C199,C199,$D$6:D199,"反例")=1),1,0))</x:f>
      </x:c>
      <x:c r="J199" s="16" t="str">
        <x:f>IF(A199="","",IF(COUNTIF('问题归类'!$A$6:$A$35,B199)&lt;&gt;1,"问题编号缺失或重复",IF(COUNTIF('评论证据'!$D$6:$D$205,C199)=0,"评论编号缺失",IF(COUNTIFS($B$6:B199,B199,$C$6:C199,C199,$D$6:D199,D199)&gt;1,"重复关联不重复计数",""))))</x:f>
      </x:c>
    </x:row>
    <x:row r="200" ht="36" customHeight="1">
      <x:c r="A200" s="11"/>
      <x:c r="B200" s="11"/>
      <x:c r="C200" s="11"/>
      <x:c r="D200" s="11"/>
      <x:c r="E200" s="11"/>
      <x:c r="F200" s="16" t="str">
        <x:f>IF(A200="","",IF(COUNTIF('评论证据'!$AA$6:$AA$205,C200)=0,"缺可定位研究评论",INDEX('评论证据'!$E$6:$E$205,MATCH(C200,'评论证据'!$AA$6:$AA$205,0))))</x:f>
      </x:c>
      <x:c r="G200" s="16" t="str">
        <x:f>IF(A200="","",IF(AND(B200&lt;&gt;"",C200&lt;&gt;"",D200="支持",COUNTIF('问题归类'!$A$6:$A$35,B200)=1,COUNTIFS('评论证据'!$D$6:$D$205,C200,'评论证据'!$T$6:$T$205,1,'评论证据'!$C$6:$C$205,"研究")&gt;0,COUNTIFS($B$6:B200,B200,$C$6:C200,C200,$D$6:D200,"支持")=1),IF(INDEX('问题归类'!$G$6:$G$35,MATCH(B200,'问题归类'!$A$6:$A$35,0))="有效",1,0),0))</x:f>
      </x:c>
      <x:c r="H200" s="16" t="str">
        <x:f>IF(A200="","",IF(G200=1,IF(COUNTIFS($B$6:B200,B200,$F$6:F200,F200,$G$6:G200,1)=1,1,0),0))</x:f>
      </x:c>
      <x:c r="I200" s="16" t="str">
        <x:f>IF(A200="","",IF(AND(D200="反例",COUNTIF('问题归类'!$A$6:$A$35,B200)=1,COUNTIF('评论证据'!$AA$6:$AA$205,C200)&gt;0,COUNTIFS($B$6:B200,B200,$C$6:C200,C200,$D$6:D200,"反例")=1),1,0))</x:f>
      </x:c>
      <x:c r="J200" s="16" t="str">
        <x:f>IF(A200="","",IF(COUNTIF('问题归类'!$A$6:$A$35,B200)&lt;&gt;1,"问题编号缺失或重复",IF(COUNTIF('评论证据'!$D$6:$D$205,C200)=0,"评论编号缺失",IF(COUNTIFS($B$6:B200,B200,$C$6:C200,C200,$D$6:D200,D200)&gt;1,"重复关联不重复计数",""))))</x:f>
      </x:c>
    </x:row>
    <x:row r="201" ht="36" customHeight="1">
      <x:c r="A201" s="11"/>
      <x:c r="B201" s="11"/>
      <x:c r="C201" s="11"/>
      <x:c r="D201" s="11"/>
      <x:c r="E201" s="11"/>
      <x:c r="F201" s="16" t="str">
        <x:f>IF(A201="","",IF(COUNTIF('评论证据'!$AA$6:$AA$205,C201)=0,"缺可定位研究评论",INDEX('评论证据'!$E$6:$E$205,MATCH(C201,'评论证据'!$AA$6:$AA$205,0))))</x:f>
      </x:c>
      <x:c r="G201" s="16" t="str">
        <x:f>IF(A201="","",IF(AND(B201&lt;&gt;"",C201&lt;&gt;"",D201="支持",COUNTIF('问题归类'!$A$6:$A$35,B201)=1,COUNTIFS('评论证据'!$D$6:$D$205,C201,'评论证据'!$T$6:$T$205,1,'评论证据'!$C$6:$C$205,"研究")&gt;0,COUNTIFS($B$6:B201,B201,$C$6:C201,C201,$D$6:D201,"支持")=1),IF(INDEX('问题归类'!$G$6:$G$35,MATCH(B201,'问题归类'!$A$6:$A$35,0))="有效",1,0),0))</x:f>
      </x:c>
      <x:c r="H201" s="16" t="str">
        <x:f>IF(A201="","",IF(G201=1,IF(COUNTIFS($B$6:B201,B201,$F$6:F201,F201,$G$6:G201,1)=1,1,0),0))</x:f>
      </x:c>
      <x:c r="I201" s="16" t="str">
        <x:f>IF(A201="","",IF(AND(D201="反例",COUNTIF('问题归类'!$A$6:$A$35,B201)=1,COUNTIF('评论证据'!$AA$6:$AA$205,C201)&gt;0,COUNTIFS($B$6:B201,B201,$C$6:C201,C201,$D$6:D201,"反例")=1),1,0))</x:f>
      </x:c>
      <x:c r="J201" s="16" t="str">
        <x:f>IF(A201="","",IF(COUNTIF('问题归类'!$A$6:$A$35,B201)&lt;&gt;1,"问题编号缺失或重复",IF(COUNTIF('评论证据'!$D$6:$D$205,C201)=0,"评论编号缺失",IF(COUNTIFS($B$6:B201,B201,$C$6:C201,C201,$D$6:D201,D201)&gt;1,"重复关联不重复计数",""))))</x:f>
      </x:c>
    </x:row>
    <x:row r="202" ht="36" customHeight="1">
      <x:c r="A202" s="11"/>
      <x:c r="B202" s="11"/>
      <x:c r="C202" s="11"/>
      <x:c r="D202" s="11"/>
      <x:c r="E202" s="11"/>
      <x:c r="F202" s="16" t="str">
        <x:f>IF(A202="","",IF(COUNTIF('评论证据'!$AA$6:$AA$205,C202)=0,"缺可定位研究评论",INDEX('评论证据'!$E$6:$E$205,MATCH(C202,'评论证据'!$AA$6:$AA$205,0))))</x:f>
      </x:c>
      <x:c r="G202" s="16" t="str">
        <x:f>IF(A202="","",IF(AND(B202&lt;&gt;"",C202&lt;&gt;"",D202="支持",COUNTIF('问题归类'!$A$6:$A$35,B202)=1,COUNTIFS('评论证据'!$D$6:$D$205,C202,'评论证据'!$T$6:$T$205,1,'评论证据'!$C$6:$C$205,"研究")&gt;0,COUNTIFS($B$6:B202,B202,$C$6:C202,C202,$D$6:D202,"支持")=1),IF(INDEX('问题归类'!$G$6:$G$35,MATCH(B202,'问题归类'!$A$6:$A$35,0))="有效",1,0),0))</x:f>
      </x:c>
      <x:c r="H202" s="16" t="str">
        <x:f>IF(A202="","",IF(G202=1,IF(COUNTIFS($B$6:B202,B202,$F$6:F202,F202,$G$6:G202,1)=1,1,0),0))</x:f>
      </x:c>
      <x:c r="I202" s="16" t="str">
        <x:f>IF(A202="","",IF(AND(D202="反例",COUNTIF('问题归类'!$A$6:$A$35,B202)=1,COUNTIF('评论证据'!$AA$6:$AA$205,C202)&gt;0,COUNTIFS($B$6:B202,B202,$C$6:C202,C202,$D$6:D202,"反例")=1),1,0))</x:f>
      </x:c>
      <x:c r="J202" s="16" t="str">
        <x:f>IF(A202="","",IF(COUNTIF('问题归类'!$A$6:$A$35,B202)&lt;&gt;1,"问题编号缺失或重复",IF(COUNTIF('评论证据'!$D$6:$D$205,C202)=0,"评论编号缺失",IF(COUNTIFS($B$6:B202,B202,$C$6:C202,C202,$D$6:D202,D202)&gt;1,"重复关联不重复计数",""))))</x:f>
      </x:c>
    </x:row>
    <x:row r="203" ht="36" customHeight="1">
      <x:c r="A203" s="11"/>
      <x:c r="B203" s="11"/>
      <x:c r="C203" s="11"/>
      <x:c r="D203" s="11"/>
      <x:c r="E203" s="11"/>
      <x:c r="F203" s="16" t="str">
        <x:f>IF(A203="","",IF(COUNTIF('评论证据'!$AA$6:$AA$205,C203)=0,"缺可定位研究评论",INDEX('评论证据'!$E$6:$E$205,MATCH(C203,'评论证据'!$AA$6:$AA$205,0))))</x:f>
      </x:c>
      <x:c r="G203" s="16" t="str">
        <x:f>IF(A203="","",IF(AND(B203&lt;&gt;"",C203&lt;&gt;"",D203="支持",COUNTIF('问题归类'!$A$6:$A$35,B203)=1,COUNTIFS('评论证据'!$D$6:$D$205,C203,'评论证据'!$T$6:$T$205,1,'评论证据'!$C$6:$C$205,"研究")&gt;0,COUNTIFS($B$6:B203,B203,$C$6:C203,C203,$D$6:D203,"支持")=1),IF(INDEX('问题归类'!$G$6:$G$35,MATCH(B203,'问题归类'!$A$6:$A$35,0))="有效",1,0),0))</x:f>
      </x:c>
      <x:c r="H203" s="16" t="str">
        <x:f>IF(A203="","",IF(G203=1,IF(COUNTIFS($B$6:B203,B203,$F$6:F203,F203,$G$6:G203,1)=1,1,0),0))</x:f>
      </x:c>
      <x:c r="I203" s="16" t="str">
        <x:f>IF(A203="","",IF(AND(D203="反例",COUNTIF('问题归类'!$A$6:$A$35,B203)=1,COUNTIF('评论证据'!$AA$6:$AA$205,C203)&gt;0,COUNTIFS($B$6:B203,B203,$C$6:C203,C203,$D$6:D203,"反例")=1),1,0))</x:f>
      </x:c>
      <x:c r="J203" s="16" t="str">
        <x:f>IF(A203="","",IF(COUNTIF('问题归类'!$A$6:$A$35,B203)&lt;&gt;1,"问题编号缺失或重复",IF(COUNTIF('评论证据'!$D$6:$D$205,C203)=0,"评论编号缺失",IF(COUNTIFS($B$6:B203,B203,$C$6:C203,C203,$D$6:D203,D203)&gt;1,"重复关联不重复计数",""))))</x:f>
      </x:c>
    </x:row>
    <x:row r="204" ht="36" customHeight="1">
      <x:c r="A204" s="11"/>
      <x:c r="B204" s="11"/>
      <x:c r="C204" s="11"/>
      <x:c r="D204" s="11"/>
      <x:c r="E204" s="11"/>
      <x:c r="F204" s="16" t="str">
        <x:f>IF(A204="","",IF(COUNTIF('评论证据'!$AA$6:$AA$205,C204)=0,"缺可定位研究评论",INDEX('评论证据'!$E$6:$E$205,MATCH(C204,'评论证据'!$AA$6:$AA$205,0))))</x:f>
      </x:c>
      <x:c r="G204" s="16" t="str">
        <x:f>IF(A204="","",IF(AND(B204&lt;&gt;"",C204&lt;&gt;"",D204="支持",COUNTIF('问题归类'!$A$6:$A$35,B204)=1,COUNTIFS('评论证据'!$D$6:$D$205,C204,'评论证据'!$T$6:$T$205,1,'评论证据'!$C$6:$C$205,"研究")&gt;0,COUNTIFS($B$6:B204,B204,$C$6:C204,C204,$D$6:D204,"支持")=1),IF(INDEX('问题归类'!$G$6:$G$35,MATCH(B204,'问题归类'!$A$6:$A$35,0))="有效",1,0),0))</x:f>
      </x:c>
      <x:c r="H204" s="16" t="str">
        <x:f>IF(A204="","",IF(G204=1,IF(COUNTIFS($B$6:B204,B204,$F$6:F204,F204,$G$6:G204,1)=1,1,0),0))</x:f>
      </x:c>
      <x:c r="I204" s="16" t="str">
        <x:f>IF(A204="","",IF(AND(D204="反例",COUNTIF('问题归类'!$A$6:$A$35,B204)=1,COUNTIF('评论证据'!$AA$6:$AA$205,C204)&gt;0,COUNTIFS($B$6:B204,B204,$C$6:C204,C204,$D$6:D204,"反例")=1),1,0))</x:f>
      </x:c>
      <x:c r="J204" s="16" t="str">
        <x:f>IF(A204="","",IF(COUNTIF('问题归类'!$A$6:$A$35,B204)&lt;&gt;1,"问题编号缺失或重复",IF(COUNTIF('评论证据'!$D$6:$D$205,C204)=0,"评论编号缺失",IF(COUNTIFS($B$6:B204,B204,$C$6:C204,C204,$D$6:D204,D204)&gt;1,"重复关联不重复计数",""))))</x:f>
      </x:c>
    </x:row>
    <x:row r="205" ht="36" customHeight="1">
      <x:c r="A205" s="11"/>
      <x:c r="B205" s="11"/>
      <x:c r="C205" s="11"/>
      <x:c r="D205" s="11"/>
      <x:c r="E205" s="11"/>
      <x:c r="F205" s="16" t="str">
        <x:f>IF(A205="","",IF(COUNTIF('评论证据'!$AA$6:$AA$205,C205)=0,"缺可定位研究评论",INDEX('评论证据'!$E$6:$E$205,MATCH(C205,'评论证据'!$AA$6:$AA$205,0))))</x:f>
      </x:c>
      <x:c r="G205" s="16" t="str">
        <x:f>IF(A205="","",IF(AND(B205&lt;&gt;"",C205&lt;&gt;"",D205="支持",COUNTIF('问题归类'!$A$6:$A$35,B205)=1,COUNTIFS('评论证据'!$D$6:$D$205,C205,'评论证据'!$T$6:$T$205,1,'评论证据'!$C$6:$C$205,"研究")&gt;0,COUNTIFS($B$6:B205,B205,$C$6:C205,C205,$D$6:D205,"支持")=1),IF(INDEX('问题归类'!$G$6:$G$35,MATCH(B205,'问题归类'!$A$6:$A$35,0))="有效",1,0),0))</x:f>
      </x:c>
      <x:c r="H205" s="16" t="str">
        <x:f>IF(A205="","",IF(G205=1,IF(COUNTIFS($B$6:B205,B205,$F$6:F205,F205,$G$6:G205,1)=1,1,0),0))</x:f>
      </x:c>
      <x:c r="I205" s="16" t="str">
        <x:f>IF(A205="","",IF(AND(D205="反例",COUNTIF('问题归类'!$A$6:$A$35,B205)=1,COUNTIF('评论证据'!$AA$6:$AA$205,C205)&gt;0,COUNTIFS($B$6:B205,B205,$C$6:C205,C205,$D$6:D205,"反例")=1),1,0))</x:f>
      </x:c>
      <x:c r="J205" s="16" t="str">
        <x:f>IF(A205="","",IF(COUNTIF('问题归类'!$A$6:$A$35,B205)&lt;&gt;1,"问题编号缺失或重复",IF(COUNTIF('评论证据'!$D$6:$D$205,C205)=0,"评论编号缺失",IF(COUNTIFS($B$6:B205,B205,$C$6:C205,C205,$D$6:D205,D205)&gt;1,"重复关联不重复计数",""))))</x:f>
      </x:c>
    </x:row>
  </x:sheetData>
  <x:dataValidations count="1">
    <x:dataValidation type="list" sqref="D6:D205">
      <x:formula1>"支持,反例,背景,待判"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a945806b4c40d3"/>
  </x:tableParts>
</x:worksheet>
</file>

<file path=xl/worksheets/sheet9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2" t="str">
        <x:v>选题判断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2" customHeight="1">
      <x:c r="A5" s="8" t="str">
        <x:v>选题TID</x:v>
      </x:c>
      <x:c r="B5" s="8" t="str">
        <x:v>批次BID</x:v>
      </x:c>
      <x:c r="C5" s="8" t="str">
        <x:v>主问题PID</x:v>
      </x:c>
      <x:c r="D5" s="8" t="str">
        <x:v>核心选题名称</x:v>
      </x:c>
      <x:c r="E5" s="8" t="str">
        <x:v>观看对象</x:v>
      </x:c>
      <x:c r="F5" s="8" t="str">
        <x:v>本期目标</x:v>
      </x:c>
      <x:c r="G5" s="8" t="str">
        <x:v>H1来源</x:v>
      </x:c>
      <x:c r="H5" s="8" t="str">
        <x:v>H2业务</x:v>
      </x:c>
      <x:c r="I5" s="8" t="str">
        <x:v>H3回答能力</x:v>
      </x:c>
      <x:c r="J5" s="8" t="str">
        <x:v>H4可制作</x:v>
      </x:c>
      <x:c r="K5" s="8" t="str">
        <x:v>H5风险</x:v>
      </x:c>
      <x:c r="L5" s="8" t="str">
        <x:v>当前层级</x:v>
      </x:c>
      <x:c r="M5" s="8" t="str">
        <x:v>人工去向</x:v>
      </x:c>
      <x:c r="N5" s="8" t="str">
        <x:v>专业审核人或不适用</x:v>
      </x:c>
      <x:c r="O5" s="8" t="str">
        <x:v>审核依据</x:v>
      </x:c>
      <x:c r="P5" s="8" t="str">
        <x:v>甲方意见</x:v>
      </x:c>
      <x:c r="Q5" s="8" t="str">
        <x:v>认可版本</x:v>
      </x:c>
      <x:c r="R5" s="8" t="str">
        <x:v>关键缺口</x:v>
      </x:c>
      <x:c r="S5" s="8" t="str">
        <x:v>当前推荐条件</x:v>
      </x:c>
      <x:c r="T5" s="8" t="str">
        <x:v>候选计数</x:v>
      </x:c>
      <x:c r="U5" s="8" t="str">
        <x:v>正式推荐计数</x:v>
      </x:c>
      <x:c r="V5" s="8" t="str">
        <x:v>甲方认可计数</x:v>
      </x:c>
      <x:c r="W5" s="8" t="str">
        <x:v>状态提示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6" t="str">
        <x:f>IF(A6="","",IF(AND(G6="通过",H6="通过",I6="通过",J6="通过",K6="通过",OR(L6="S5",L6="S6"),N6&lt;&gt;"",O6&lt;&gt;"",COUNTIF($A$6:$A$25,A6)=1,COUNTIF('问题归类'!$A$6:$A$35,C6)=1,COUNTIFS('推荐理由'!$A$6:$A$25,A6,'推荐理由'!$M$6:$M$25,1)=1,COUNTIFS('平台预审'!$A$6:$A$65,A6,'平台预审'!$B$6:$B$65,"抖音",'平台预审'!$J$6:$J$65,1)=1,COUNTIFS('平台预审'!$A$6:$A$65,A6,'平台预审'!$B$6:$B$65,"小红书",'平台预审'!$J$6:$J$65,1)=1,COUNTIFS('平台预审'!$A$6:$A$65,A6,'平台预审'!$B$6:$B$65,"微信视频号",'平台预审'!$J$6:$J$65,1)=1),IF(AND(INDEX('问题归类'!$H$6:$H$35,MATCH(C6,'问题归类'!$A$6:$A$35,0))="是",INDEX('问题归类'!$K$6:$K$35,MATCH(C6,'问题归类'!$A$6:$A$35,0))&gt;0),1,0),0))</x:f>
      </x:c>
      <x:c r="T6" s="16" t="str">
        <x:f>IF(A6="","",IF(COUNTIF($A$6:A6,A6)=1,1,0))</x:f>
      </x:c>
      <x:c r="U6" s="16" t="str">
        <x:f>IF(A6="","",IF(AND(S6=1,M6="推荐"),1,0))</x:f>
      </x:c>
      <x:c r="V6" s="16" t="str">
        <x:f>IF(A6="","",IF(AND(U6=1,P6="认可",Q6&lt;&gt;""),1,0))</x:f>
      </x:c>
      <x:c r="W6" s="16" t="str">
        <x:f>IF(A6="","",IF(COUNTIF($A$6:$A$25,A6)&gt;1,"选题编号重复",IF(AND(M6="推荐",S6&lt;&gt;1),"推荐条件或完整理由未齐",IF(AND(P6="认可",Q6=""),"缺认可版本","由人工复核，不是发布许可"))))</x:f>
      </x:c>
    </x:row>
    <x:row r="7" ht="36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6" t="str">
        <x:f>IF(A7="","",IF(AND(G7="通过",H7="通过",I7="通过",J7="通过",K7="通过",OR(L7="S5",L7="S6"),N7&lt;&gt;"",O7&lt;&gt;"",COUNTIF($A$6:$A$25,A7)=1,COUNTIF('问题归类'!$A$6:$A$35,C7)=1,COUNTIFS('推荐理由'!$A$6:$A$25,A7,'推荐理由'!$M$6:$M$25,1)=1,COUNTIFS('平台预审'!$A$6:$A$65,A7,'平台预审'!$B$6:$B$65,"抖音",'平台预审'!$J$6:$J$65,1)=1,COUNTIFS('平台预审'!$A$6:$A$65,A7,'平台预审'!$B$6:$B$65,"小红书",'平台预审'!$J$6:$J$65,1)=1,COUNTIFS('平台预审'!$A$6:$A$65,A7,'平台预审'!$B$6:$B$65,"微信视频号",'平台预审'!$J$6:$J$65,1)=1),IF(AND(INDEX('问题归类'!$H$6:$H$35,MATCH(C7,'问题归类'!$A$6:$A$35,0))="是",INDEX('问题归类'!$K$6:$K$35,MATCH(C7,'问题归类'!$A$6:$A$35,0))&gt;0),1,0),0))</x:f>
      </x:c>
      <x:c r="T7" s="16" t="str">
        <x:f>IF(A7="","",IF(COUNTIF($A$6:A7,A7)=1,1,0))</x:f>
      </x:c>
      <x:c r="U7" s="16" t="str">
        <x:f>IF(A7="","",IF(AND(S7=1,M7="推荐"),1,0))</x:f>
      </x:c>
      <x:c r="V7" s="16" t="str">
        <x:f>IF(A7="","",IF(AND(U7=1,P7="认可",Q7&lt;&gt;""),1,0))</x:f>
      </x:c>
      <x:c r="W7" s="16" t="str">
        <x:f>IF(A7="","",IF(COUNTIF($A$6:$A$25,A7)&gt;1,"选题编号重复",IF(AND(M7="推荐",S7&lt;&gt;1),"推荐条件或完整理由未齐",IF(AND(P7="认可",Q7=""),"缺认可版本","由人工复核，不是发布许可"))))</x:f>
      </x:c>
    </x:row>
    <x:row r="8" ht="36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6" t="str">
        <x:f>IF(A8="","",IF(AND(G8="通过",H8="通过",I8="通过",J8="通过",K8="通过",OR(L8="S5",L8="S6"),N8&lt;&gt;"",O8&lt;&gt;"",COUNTIF($A$6:$A$25,A8)=1,COUNTIF('问题归类'!$A$6:$A$35,C8)=1,COUNTIFS('推荐理由'!$A$6:$A$25,A8,'推荐理由'!$M$6:$M$25,1)=1,COUNTIFS('平台预审'!$A$6:$A$65,A8,'平台预审'!$B$6:$B$65,"抖音",'平台预审'!$J$6:$J$65,1)=1,COUNTIFS('平台预审'!$A$6:$A$65,A8,'平台预审'!$B$6:$B$65,"小红书",'平台预审'!$J$6:$J$65,1)=1,COUNTIFS('平台预审'!$A$6:$A$65,A8,'平台预审'!$B$6:$B$65,"微信视频号",'平台预审'!$J$6:$J$65,1)=1),IF(AND(INDEX('问题归类'!$H$6:$H$35,MATCH(C8,'问题归类'!$A$6:$A$35,0))="是",INDEX('问题归类'!$K$6:$K$35,MATCH(C8,'问题归类'!$A$6:$A$35,0))&gt;0),1,0),0))</x:f>
      </x:c>
      <x:c r="T8" s="16" t="str">
        <x:f>IF(A8="","",IF(COUNTIF($A$6:A8,A8)=1,1,0))</x:f>
      </x:c>
      <x:c r="U8" s="16" t="str">
        <x:f>IF(A8="","",IF(AND(S8=1,M8="推荐"),1,0))</x:f>
      </x:c>
      <x:c r="V8" s="16" t="str">
        <x:f>IF(A8="","",IF(AND(U8=1,P8="认可",Q8&lt;&gt;""),1,0))</x:f>
      </x:c>
      <x:c r="W8" s="16" t="str">
        <x:f>IF(A8="","",IF(COUNTIF($A$6:$A$25,A8)&gt;1,"选题编号重复",IF(AND(M8="推荐",S8&lt;&gt;1),"推荐条件或完整理由未齐",IF(AND(P8="认可",Q8=""),"缺认可版本","由人工复核，不是发布许可"))))</x:f>
      </x:c>
    </x:row>
    <x:row r="9" ht="36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6" t="str">
        <x:f>IF(A9="","",IF(AND(G9="通过",H9="通过",I9="通过",J9="通过",K9="通过",OR(L9="S5",L9="S6"),N9&lt;&gt;"",O9&lt;&gt;"",COUNTIF($A$6:$A$25,A9)=1,COUNTIF('问题归类'!$A$6:$A$35,C9)=1,COUNTIFS('推荐理由'!$A$6:$A$25,A9,'推荐理由'!$M$6:$M$25,1)=1,COUNTIFS('平台预审'!$A$6:$A$65,A9,'平台预审'!$B$6:$B$65,"抖音",'平台预审'!$J$6:$J$65,1)=1,COUNTIFS('平台预审'!$A$6:$A$65,A9,'平台预审'!$B$6:$B$65,"小红书",'平台预审'!$J$6:$J$65,1)=1,COUNTIFS('平台预审'!$A$6:$A$65,A9,'平台预审'!$B$6:$B$65,"微信视频号",'平台预审'!$J$6:$J$65,1)=1),IF(AND(INDEX('问题归类'!$H$6:$H$35,MATCH(C9,'问题归类'!$A$6:$A$35,0))="是",INDEX('问题归类'!$K$6:$K$35,MATCH(C9,'问题归类'!$A$6:$A$35,0))&gt;0),1,0),0))</x:f>
      </x:c>
      <x:c r="T9" s="16" t="str">
        <x:f>IF(A9="","",IF(COUNTIF($A$6:A9,A9)=1,1,0))</x:f>
      </x:c>
      <x:c r="U9" s="16" t="str">
        <x:f>IF(A9="","",IF(AND(S9=1,M9="推荐"),1,0))</x:f>
      </x:c>
      <x:c r="V9" s="16" t="str">
        <x:f>IF(A9="","",IF(AND(U9=1,P9="认可",Q9&lt;&gt;""),1,0))</x:f>
      </x:c>
      <x:c r="W9" s="16" t="str">
        <x:f>IF(A9="","",IF(COUNTIF($A$6:$A$25,A9)&gt;1,"选题编号重复",IF(AND(M9="推荐",S9&lt;&gt;1),"推荐条件或完整理由未齐",IF(AND(P9="认可",Q9=""),"缺认可版本","由人工复核，不是发布许可"))))</x:f>
      </x:c>
    </x:row>
    <x:row r="10" ht="36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6" t="str">
        <x:f>IF(A10="","",IF(AND(G10="通过",H10="通过",I10="通过",J10="通过",K10="通过",OR(L10="S5",L10="S6"),N10&lt;&gt;"",O10&lt;&gt;"",COUNTIF($A$6:$A$25,A10)=1,COUNTIF('问题归类'!$A$6:$A$35,C10)=1,COUNTIFS('推荐理由'!$A$6:$A$25,A10,'推荐理由'!$M$6:$M$25,1)=1,COUNTIFS('平台预审'!$A$6:$A$65,A10,'平台预审'!$B$6:$B$65,"抖音",'平台预审'!$J$6:$J$65,1)=1,COUNTIFS('平台预审'!$A$6:$A$65,A10,'平台预审'!$B$6:$B$65,"小红书",'平台预审'!$J$6:$J$65,1)=1,COUNTIFS('平台预审'!$A$6:$A$65,A10,'平台预审'!$B$6:$B$65,"微信视频号",'平台预审'!$J$6:$J$65,1)=1),IF(AND(INDEX('问题归类'!$H$6:$H$35,MATCH(C10,'问题归类'!$A$6:$A$35,0))="是",INDEX('问题归类'!$K$6:$K$35,MATCH(C10,'问题归类'!$A$6:$A$35,0))&gt;0),1,0),0))</x:f>
      </x:c>
      <x:c r="T10" s="16" t="str">
        <x:f>IF(A10="","",IF(COUNTIF($A$6:A10,A10)=1,1,0))</x:f>
      </x:c>
      <x:c r="U10" s="16" t="str">
        <x:f>IF(A10="","",IF(AND(S10=1,M10="推荐"),1,0))</x:f>
      </x:c>
      <x:c r="V10" s="16" t="str">
        <x:f>IF(A10="","",IF(AND(U10=1,P10="认可",Q10&lt;&gt;""),1,0))</x:f>
      </x:c>
      <x:c r="W10" s="16" t="str">
        <x:f>IF(A10="","",IF(COUNTIF($A$6:$A$25,A10)&gt;1,"选题编号重复",IF(AND(M10="推荐",S10&lt;&gt;1),"推荐条件或完整理由未齐",IF(AND(P10="认可",Q10=""),"缺认可版本","由人工复核，不是发布许可"))))</x:f>
      </x:c>
    </x:row>
    <x:row r="11" ht="36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6" t="str">
        <x:f>IF(A11="","",IF(AND(G11="通过",H11="通过",I11="通过",J11="通过",K11="通过",OR(L11="S5",L11="S6"),N11&lt;&gt;"",O11&lt;&gt;"",COUNTIF($A$6:$A$25,A11)=1,COUNTIF('问题归类'!$A$6:$A$35,C11)=1,COUNTIFS('推荐理由'!$A$6:$A$25,A11,'推荐理由'!$M$6:$M$25,1)=1,COUNTIFS('平台预审'!$A$6:$A$65,A11,'平台预审'!$B$6:$B$65,"抖音",'平台预审'!$J$6:$J$65,1)=1,COUNTIFS('平台预审'!$A$6:$A$65,A11,'平台预审'!$B$6:$B$65,"小红书",'平台预审'!$J$6:$J$65,1)=1,COUNTIFS('平台预审'!$A$6:$A$65,A11,'平台预审'!$B$6:$B$65,"微信视频号",'平台预审'!$J$6:$J$65,1)=1),IF(AND(INDEX('问题归类'!$H$6:$H$35,MATCH(C11,'问题归类'!$A$6:$A$35,0))="是",INDEX('问题归类'!$K$6:$K$35,MATCH(C11,'问题归类'!$A$6:$A$35,0))&gt;0),1,0),0))</x:f>
      </x:c>
      <x:c r="T11" s="16" t="str">
        <x:f>IF(A11="","",IF(COUNTIF($A$6:A11,A11)=1,1,0))</x:f>
      </x:c>
      <x:c r="U11" s="16" t="str">
        <x:f>IF(A11="","",IF(AND(S11=1,M11="推荐"),1,0))</x:f>
      </x:c>
      <x:c r="V11" s="16" t="str">
        <x:f>IF(A11="","",IF(AND(U11=1,P11="认可",Q11&lt;&gt;""),1,0))</x:f>
      </x:c>
      <x:c r="W11" s="16" t="str">
        <x:f>IF(A11="","",IF(COUNTIF($A$6:$A$25,A11)&gt;1,"选题编号重复",IF(AND(M11="推荐",S11&lt;&gt;1),"推荐条件或完整理由未齐",IF(AND(P11="认可",Q11=""),"缺认可版本","由人工复核，不是发布许可"))))</x:f>
      </x:c>
    </x:row>
    <x:row r="12" ht="36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6" t="str">
        <x:f>IF(A12="","",IF(AND(G12="通过",H12="通过",I12="通过",J12="通过",K12="通过",OR(L12="S5",L12="S6"),N12&lt;&gt;"",O12&lt;&gt;"",COUNTIF($A$6:$A$25,A12)=1,COUNTIF('问题归类'!$A$6:$A$35,C12)=1,COUNTIFS('推荐理由'!$A$6:$A$25,A12,'推荐理由'!$M$6:$M$25,1)=1,COUNTIFS('平台预审'!$A$6:$A$65,A12,'平台预审'!$B$6:$B$65,"抖音",'平台预审'!$J$6:$J$65,1)=1,COUNTIFS('平台预审'!$A$6:$A$65,A12,'平台预审'!$B$6:$B$65,"小红书",'平台预审'!$J$6:$J$65,1)=1,COUNTIFS('平台预审'!$A$6:$A$65,A12,'平台预审'!$B$6:$B$65,"微信视频号",'平台预审'!$J$6:$J$65,1)=1),IF(AND(INDEX('问题归类'!$H$6:$H$35,MATCH(C12,'问题归类'!$A$6:$A$35,0))="是",INDEX('问题归类'!$K$6:$K$35,MATCH(C12,'问题归类'!$A$6:$A$35,0))&gt;0),1,0),0))</x:f>
      </x:c>
      <x:c r="T12" s="16" t="str">
        <x:f>IF(A12="","",IF(COUNTIF($A$6:A12,A12)=1,1,0))</x:f>
      </x:c>
      <x:c r="U12" s="16" t="str">
        <x:f>IF(A12="","",IF(AND(S12=1,M12="推荐"),1,0))</x:f>
      </x:c>
      <x:c r="V12" s="16" t="str">
        <x:f>IF(A12="","",IF(AND(U12=1,P12="认可",Q12&lt;&gt;""),1,0))</x:f>
      </x:c>
      <x:c r="W12" s="16" t="str">
        <x:f>IF(A12="","",IF(COUNTIF($A$6:$A$25,A12)&gt;1,"选题编号重复",IF(AND(M12="推荐",S12&lt;&gt;1),"推荐条件或完整理由未齐",IF(AND(P12="认可",Q12=""),"缺认可版本","由人工复核，不是发布许可"))))</x:f>
      </x:c>
    </x:row>
    <x:row r="13" ht="36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6" t="str">
        <x:f>IF(A13="","",IF(AND(G13="通过",H13="通过",I13="通过",J13="通过",K13="通过",OR(L13="S5",L13="S6"),N13&lt;&gt;"",O13&lt;&gt;"",COUNTIF($A$6:$A$25,A13)=1,COUNTIF('问题归类'!$A$6:$A$35,C13)=1,COUNTIFS('推荐理由'!$A$6:$A$25,A13,'推荐理由'!$M$6:$M$25,1)=1,COUNTIFS('平台预审'!$A$6:$A$65,A13,'平台预审'!$B$6:$B$65,"抖音",'平台预审'!$J$6:$J$65,1)=1,COUNTIFS('平台预审'!$A$6:$A$65,A13,'平台预审'!$B$6:$B$65,"小红书",'平台预审'!$J$6:$J$65,1)=1,COUNTIFS('平台预审'!$A$6:$A$65,A13,'平台预审'!$B$6:$B$65,"微信视频号",'平台预审'!$J$6:$J$65,1)=1),IF(AND(INDEX('问题归类'!$H$6:$H$35,MATCH(C13,'问题归类'!$A$6:$A$35,0))="是",INDEX('问题归类'!$K$6:$K$35,MATCH(C13,'问题归类'!$A$6:$A$35,0))&gt;0),1,0),0))</x:f>
      </x:c>
      <x:c r="T13" s="16" t="str">
        <x:f>IF(A13="","",IF(COUNTIF($A$6:A13,A13)=1,1,0))</x:f>
      </x:c>
      <x:c r="U13" s="16" t="str">
        <x:f>IF(A13="","",IF(AND(S13=1,M13="推荐"),1,0))</x:f>
      </x:c>
      <x:c r="V13" s="16" t="str">
        <x:f>IF(A13="","",IF(AND(U13=1,P13="认可",Q13&lt;&gt;""),1,0))</x:f>
      </x:c>
      <x:c r="W13" s="16" t="str">
        <x:f>IF(A13="","",IF(COUNTIF($A$6:$A$25,A13)&gt;1,"选题编号重复",IF(AND(M13="推荐",S13&lt;&gt;1),"推荐条件或完整理由未齐",IF(AND(P13="认可",Q13=""),"缺认可版本","由人工复核，不是发布许可"))))</x:f>
      </x:c>
    </x:row>
    <x:row r="14" ht="36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6" t="str">
        <x:f>IF(A14="","",IF(AND(G14="通过",H14="通过",I14="通过",J14="通过",K14="通过",OR(L14="S5",L14="S6"),N14&lt;&gt;"",O14&lt;&gt;"",COUNTIF($A$6:$A$25,A14)=1,COUNTIF('问题归类'!$A$6:$A$35,C14)=1,COUNTIFS('推荐理由'!$A$6:$A$25,A14,'推荐理由'!$M$6:$M$25,1)=1,COUNTIFS('平台预审'!$A$6:$A$65,A14,'平台预审'!$B$6:$B$65,"抖音",'平台预审'!$J$6:$J$65,1)=1,COUNTIFS('平台预审'!$A$6:$A$65,A14,'平台预审'!$B$6:$B$65,"小红书",'平台预审'!$J$6:$J$65,1)=1,COUNTIFS('平台预审'!$A$6:$A$65,A14,'平台预审'!$B$6:$B$65,"微信视频号",'平台预审'!$J$6:$J$65,1)=1),IF(AND(INDEX('问题归类'!$H$6:$H$35,MATCH(C14,'问题归类'!$A$6:$A$35,0))="是",INDEX('问题归类'!$K$6:$K$35,MATCH(C14,'问题归类'!$A$6:$A$35,0))&gt;0),1,0),0))</x:f>
      </x:c>
      <x:c r="T14" s="16" t="str">
        <x:f>IF(A14="","",IF(COUNTIF($A$6:A14,A14)=1,1,0))</x:f>
      </x:c>
      <x:c r="U14" s="16" t="str">
        <x:f>IF(A14="","",IF(AND(S14=1,M14="推荐"),1,0))</x:f>
      </x:c>
      <x:c r="V14" s="16" t="str">
        <x:f>IF(A14="","",IF(AND(U14=1,P14="认可",Q14&lt;&gt;""),1,0))</x:f>
      </x:c>
      <x:c r="W14" s="16" t="str">
        <x:f>IF(A14="","",IF(COUNTIF($A$6:$A$25,A14)&gt;1,"选题编号重复",IF(AND(M14="推荐",S14&lt;&gt;1),"推荐条件或完整理由未齐",IF(AND(P14="认可",Q14=""),"缺认可版本","由人工复核，不是发布许可"))))</x:f>
      </x:c>
    </x:row>
    <x:row r="15" ht="36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6" t="str">
        <x:f>IF(A15="","",IF(AND(G15="通过",H15="通过",I15="通过",J15="通过",K15="通过",OR(L15="S5",L15="S6"),N15&lt;&gt;"",O15&lt;&gt;"",COUNTIF($A$6:$A$25,A15)=1,COUNTIF('问题归类'!$A$6:$A$35,C15)=1,COUNTIFS('推荐理由'!$A$6:$A$25,A15,'推荐理由'!$M$6:$M$25,1)=1,COUNTIFS('平台预审'!$A$6:$A$65,A15,'平台预审'!$B$6:$B$65,"抖音",'平台预审'!$J$6:$J$65,1)=1,COUNTIFS('平台预审'!$A$6:$A$65,A15,'平台预审'!$B$6:$B$65,"小红书",'平台预审'!$J$6:$J$65,1)=1,COUNTIFS('平台预审'!$A$6:$A$65,A15,'平台预审'!$B$6:$B$65,"微信视频号",'平台预审'!$J$6:$J$65,1)=1),IF(AND(INDEX('问题归类'!$H$6:$H$35,MATCH(C15,'问题归类'!$A$6:$A$35,0))="是",INDEX('问题归类'!$K$6:$K$35,MATCH(C15,'问题归类'!$A$6:$A$35,0))&gt;0),1,0),0))</x:f>
      </x:c>
      <x:c r="T15" s="16" t="str">
        <x:f>IF(A15="","",IF(COUNTIF($A$6:A15,A15)=1,1,0))</x:f>
      </x:c>
      <x:c r="U15" s="16" t="str">
        <x:f>IF(A15="","",IF(AND(S15=1,M15="推荐"),1,0))</x:f>
      </x:c>
      <x:c r="V15" s="16" t="str">
        <x:f>IF(A15="","",IF(AND(U15=1,P15="认可",Q15&lt;&gt;""),1,0))</x:f>
      </x:c>
      <x:c r="W15" s="16" t="str">
        <x:f>IF(A15="","",IF(COUNTIF($A$6:$A$25,A15)&gt;1,"选题编号重复",IF(AND(M15="推荐",S15&lt;&gt;1),"推荐条件或完整理由未齐",IF(AND(P15="认可",Q15=""),"缺认可版本","由人工复核，不是发布许可"))))</x:f>
      </x:c>
    </x:row>
    <x:row r="16" ht="36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6" t="str">
        <x:f>IF(A16="","",IF(AND(G16="通过",H16="通过",I16="通过",J16="通过",K16="通过",OR(L16="S5",L16="S6"),N16&lt;&gt;"",O16&lt;&gt;"",COUNTIF($A$6:$A$25,A16)=1,COUNTIF('问题归类'!$A$6:$A$35,C16)=1,COUNTIFS('推荐理由'!$A$6:$A$25,A16,'推荐理由'!$M$6:$M$25,1)=1,COUNTIFS('平台预审'!$A$6:$A$65,A16,'平台预审'!$B$6:$B$65,"抖音",'平台预审'!$J$6:$J$65,1)=1,COUNTIFS('平台预审'!$A$6:$A$65,A16,'平台预审'!$B$6:$B$65,"小红书",'平台预审'!$J$6:$J$65,1)=1,COUNTIFS('平台预审'!$A$6:$A$65,A16,'平台预审'!$B$6:$B$65,"微信视频号",'平台预审'!$J$6:$J$65,1)=1),IF(AND(INDEX('问题归类'!$H$6:$H$35,MATCH(C16,'问题归类'!$A$6:$A$35,0))="是",INDEX('问题归类'!$K$6:$K$35,MATCH(C16,'问题归类'!$A$6:$A$35,0))&gt;0),1,0),0))</x:f>
      </x:c>
      <x:c r="T16" s="16" t="str">
        <x:f>IF(A16="","",IF(COUNTIF($A$6:A16,A16)=1,1,0))</x:f>
      </x:c>
      <x:c r="U16" s="16" t="str">
        <x:f>IF(A16="","",IF(AND(S16=1,M16="推荐"),1,0))</x:f>
      </x:c>
      <x:c r="V16" s="16" t="str">
        <x:f>IF(A16="","",IF(AND(U16=1,P16="认可",Q16&lt;&gt;""),1,0))</x:f>
      </x:c>
      <x:c r="W16" s="16" t="str">
        <x:f>IF(A16="","",IF(COUNTIF($A$6:$A$25,A16)&gt;1,"选题编号重复",IF(AND(M16="推荐",S16&lt;&gt;1),"推荐条件或完整理由未齐",IF(AND(P16="认可",Q16=""),"缺认可版本","由人工复核，不是发布许可"))))</x:f>
      </x:c>
    </x:row>
    <x:row r="17" ht="36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6" t="str">
        <x:f>IF(A17="","",IF(AND(G17="通过",H17="通过",I17="通过",J17="通过",K17="通过",OR(L17="S5",L17="S6"),N17&lt;&gt;"",O17&lt;&gt;"",COUNTIF($A$6:$A$25,A17)=1,COUNTIF('问题归类'!$A$6:$A$35,C17)=1,COUNTIFS('推荐理由'!$A$6:$A$25,A17,'推荐理由'!$M$6:$M$25,1)=1,COUNTIFS('平台预审'!$A$6:$A$65,A17,'平台预审'!$B$6:$B$65,"抖音",'平台预审'!$J$6:$J$65,1)=1,COUNTIFS('平台预审'!$A$6:$A$65,A17,'平台预审'!$B$6:$B$65,"小红书",'平台预审'!$J$6:$J$65,1)=1,COUNTIFS('平台预审'!$A$6:$A$65,A17,'平台预审'!$B$6:$B$65,"微信视频号",'平台预审'!$J$6:$J$65,1)=1),IF(AND(INDEX('问题归类'!$H$6:$H$35,MATCH(C17,'问题归类'!$A$6:$A$35,0))="是",INDEX('问题归类'!$K$6:$K$35,MATCH(C17,'问题归类'!$A$6:$A$35,0))&gt;0),1,0),0))</x:f>
      </x:c>
      <x:c r="T17" s="16" t="str">
        <x:f>IF(A17="","",IF(COUNTIF($A$6:A17,A17)=1,1,0))</x:f>
      </x:c>
      <x:c r="U17" s="16" t="str">
        <x:f>IF(A17="","",IF(AND(S17=1,M17="推荐"),1,0))</x:f>
      </x:c>
      <x:c r="V17" s="16" t="str">
        <x:f>IF(A17="","",IF(AND(U17=1,P17="认可",Q17&lt;&gt;""),1,0))</x:f>
      </x:c>
      <x:c r="W17" s="16" t="str">
        <x:f>IF(A17="","",IF(COUNTIF($A$6:$A$25,A17)&gt;1,"选题编号重复",IF(AND(M17="推荐",S17&lt;&gt;1),"推荐条件或完整理由未齐",IF(AND(P17="认可",Q17=""),"缺认可版本","由人工复核，不是发布许可"))))</x:f>
      </x:c>
    </x:row>
    <x:row r="18" ht="36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6" t="str">
        <x:f>IF(A18="","",IF(AND(G18="通过",H18="通过",I18="通过",J18="通过",K18="通过",OR(L18="S5",L18="S6"),N18&lt;&gt;"",O18&lt;&gt;"",COUNTIF($A$6:$A$25,A18)=1,COUNTIF('问题归类'!$A$6:$A$35,C18)=1,COUNTIFS('推荐理由'!$A$6:$A$25,A18,'推荐理由'!$M$6:$M$25,1)=1,COUNTIFS('平台预审'!$A$6:$A$65,A18,'平台预审'!$B$6:$B$65,"抖音",'平台预审'!$J$6:$J$65,1)=1,COUNTIFS('平台预审'!$A$6:$A$65,A18,'平台预审'!$B$6:$B$65,"小红书",'平台预审'!$J$6:$J$65,1)=1,COUNTIFS('平台预审'!$A$6:$A$65,A18,'平台预审'!$B$6:$B$65,"微信视频号",'平台预审'!$J$6:$J$65,1)=1),IF(AND(INDEX('问题归类'!$H$6:$H$35,MATCH(C18,'问题归类'!$A$6:$A$35,0))="是",INDEX('问题归类'!$K$6:$K$35,MATCH(C18,'问题归类'!$A$6:$A$35,0))&gt;0),1,0),0))</x:f>
      </x:c>
      <x:c r="T18" s="16" t="str">
        <x:f>IF(A18="","",IF(COUNTIF($A$6:A18,A18)=1,1,0))</x:f>
      </x:c>
      <x:c r="U18" s="16" t="str">
        <x:f>IF(A18="","",IF(AND(S18=1,M18="推荐"),1,0))</x:f>
      </x:c>
      <x:c r="V18" s="16" t="str">
        <x:f>IF(A18="","",IF(AND(U18=1,P18="认可",Q18&lt;&gt;""),1,0))</x:f>
      </x:c>
      <x:c r="W18" s="16" t="str">
        <x:f>IF(A18="","",IF(COUNTIF($A$6:$A$25,A18)&gt;1,"选题编号重复",IF(AND(M18="推荐",S18&lt;&gt;1),"推荐条件或完整理由未齐",IF(AND(P18="认可",Q18=""),"缺认可版本","由人工复核，不是发布许可"))))</x:f>
      </x:c>
    </x:row>
    <x:row r="19" ht="36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6" t="str">
        <x:f>IF(A19="","",IF(AND(G19="通过",H19="通过",I19="通过",J19="通过",K19="通过",OR(L19="S5",L19="S6"),N19&lt;&gt;"",O19&lt;&gt;"",COUNTIF($A$6:$A$25,A19)=1,COUNTIF('问题归类'!$A$6:$A$35,C19)=1,COUNTIFS('推荐理由'!$A$6:$A$25,A19,'推荐理由'!$M$6:$M$25,1)=1,COUNTIFS('平台预审'!$A$6:$A$65,A19,'平台预审'!$B$6:$B$65,"抖音",'平台预审'!$J$6:$J$65,1)=1,COUNTIFS('平台预审'!$A$6:$A$65,A19,'平台预审'!$B$6:$B$65,"小红书",'平台预审'!$J$6:$J$65,1)=1,COUNTIFS('平台预审'!$A$6:$A$65,A19,'平台预审'!$B$6:$B$65,"微信视频号",'平台预审'!$J$6:$J$65,1)=1),IF(AND(INDEX('问题归类'!$H$6:$H$35,MATCH(C19,'问题归类'!$A$6:$A$35,0))="是",INDEX('问题归类'!$K$6:$K$35,MATCH(C19,'问题归类'!$A$6:$A$35,0))&gt;0),1,0),0))</x:f>
      </x:c>
      <x:c r="T19" s="16" t="str">
        <x:f>IF(A19="","",IF(COUNTIF($A$6:A19,A19)=1,1,0))</x:f>
      </x:c>
      <x:c r="U19" s="16" t="str">
        <x:f>IF(A19="","",IF(AND(S19=1,M19="推荐"),1,0))</x:f>
      </x:c>
      <x:c r="V19" s="16" t="str">
        <x:f>IF(A19="","",IF(AND(U19=1,P19="认可",Q19&lt;&gt;""),1,0))</x:f>
      </x:c>
      <x:c r="W19" s="16" t="str">
        <x:f>IF(A19="","",IF(COUNTIF($A$6:$A$25,A19)&gt;1,"选题编号重复",IF(AND(M19="推荐",S19&lt;&gt;1),"推荐条件或完整理由未齐",IF(AND(P19="认可",Q19=""),"缺认可版本","由人工复核，不是发布许可"))))</x:f>
      </x:c>
    </x:row>
    <x:row r="20" ht="36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6" t="str">
        <x:f>IF(A20="","",IF(AND(G20="通过",H20="通过",I20="通过",J20="通过",K20="通过",OR(L20="S5",L20="S6"),N20&lt;&gt;"",O20&lt;&gt;"",COUNTIF($A$6:$A$25,A20)=1,COUNTIF('问题归类'!$A$6:$A$35,C20)=1,COUNTIFS('推荐理由'!$A$6:$A$25,A20,'推荐理由'!$M$6:$M$25,1)=1,COUNTIFS('平台预审'!$A$6:$A$65,A20,'平台预审'!$B$6:$B$65,"抖音",'平台预审'!$J$6:$J$65,1)=1,COUNTIFS('平台预审'!$A$6:$A$65,A20,'平台预审'!$B$6:$B$65,"小红书",'平台预审'!$J$6:$J$65,1)=1,COUNTIFS('平台预审'!$A$6:$A$65,A20,'平台预审'!$B$6:$B$65,"微信视频号",'平台预审'!$J$6:$J$65,1)=1),IF(AND(INDEX('问题归类'!$H$6:$H$35,MATCH(C20,'问题归类'!$A$6:$A$35,0))="是",INDEX('问题归类'!$K$6:$K$35,MATCH(C20,'问题归类'!$A$6:$A$35,0))&gt;0),1,0),0))</x:f>
      </x:c>
      <x:c r="T20" s="16" t="str">
        <x:f>IF(A20="","",IF(COUNTIF($A$6:A20,A20)=1,1,0))</x:f>
      </x:c>
      <x:c r="U20" s="16" t="str">
        <x:f>IF(A20="","",IF(AND(S20=1,M20="推荐"),1,0))</x:f>
      </x:c>
      <x:c r="V20" s="16" t="str">
        <x:f>IF(A20="","",IF(AND(U20=1,P20="认可",Q20&lt;&gt;""),1,0))</x:f>
      </x:c>
      <x:c r="W20" s="16" t="str">
        <x:f>IF(A20="","",IF(COUNTIF($A$6:$A$25,A20)&gt;1,"选题编号重复",IF(AND(M20="推荐",S20&lt;&gt;1),"推荐条件或完整理由未齐",IF(AND(P20="认可",Q20=""),"缺认可版本","由人工复核，不是发布许可"))))</x:f>
      </x:c>
    </x:row>
    <x:row r="21" ht="36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6" t="str">
        <x:f>IF(A21="","",IF(AND(G21="通过",H21="通过",I21="通过",J21="通过",K21="通过",OR(L21="S5",L21="S6"),N21&lt;&gt;"",O21&lt;&gt;"",COUNTIF($A$6:$A$25,A21)=1,COUNTIF('问题归类'!$A$6:$A$35,C21)=1,COUNTIFS('推荐理由'!$A$6:$A$25,A21,'推荐理由'!$M$6:$M$25,1)=1,COUNTIFS('平台预审'!$A$6:$A$65,A21,'平台预审'!$B$6:$B$65,"抖音",'平台预审'!$J$6:$J$65,1)=1,COUNTIFS('平台预审'!$A$6:$A$65,A21,'平台预审'!$B$6:$B$65,"小红书",'平台预审'!$J$6:$J$65,1)=1,COUNTIFS('平台预审'!$A$6:$A$65,A21,'平台预审'!$B$6:$B$65,"微信视频号",'平台预审'!$J$6:$J$65,1)=1),IF(AND(INDEX('问题归类'!$H$6:$H$35,MATCH(C21,'问题归类'!$A$6:$A$35,0))="是",INDEX('问题归类'!$K$6:$K$35,MATCH(C21,'问题归类'!$A$6:$A$35,0))&gt;0),1,0),0))</x:f>
      </x:c>
      <x:c r="T21" s="16" t="str">
        <x:f>IF(A21="","",IF(COUNTIF($A$6:A21,A21)=1,1,0))</x:f>
      </x:c>
      <x:c r="U21" s="16" t="str">
        <x:f>IF(A21="","",IF(AND(S21=1,M21="推荐"),1,0))</x:f>
      </x:c>
      <x:c r="V21" s="16" t="str">
        <x:f>IF(A21="","",IF(AND(U21=1,P21="认可",Q21&lt;&gt;""),1,0))</x:f>
      </x:c>
      <x:c r="W21" s="16" t="str">
        <x:f>IF(A21="","",IF(COUNTIF($A$6:$A$25,A21)&gt;1,"选题编号重复",IF(AND(M21="推荐",S21&lt;&gt;1),"推荐条件或完整理由未齐",IF(AND(P21="认可",Q21=""),"缺认可版本","由人工复核，不是发布许可"))))</x:f>
      </x:c>
    </x:row>
    <x:row r="22" ht="36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6" t="str">
        <x:f>IF(A22="","",IF(AND(G22="通过",H22="通过",I22="通过",J22="通过",K22="通过",OR(L22="S5",L22="S6"),N22&lt;&gt;"",O22&lt;&gt;"",COUNTIF($A$6:$A$25,A22)=1,COUNTIF('问题归类'!$A$6:$A$35,C22)=1,COUNTIFS('推荐理由'!$A$6:$A$25,A22,'推荐理由'!$M$6:$M$25,1)=1,COUNTIFS('平台预审'!$A$6:$A$65,A22,'平台预审'!$B$6:$B$65,"抖音",'平台预审'!$J$6:$J$65,1)=1,COUNTIFS('平台预审'!$A$6:$A$65,A22,'平台预审'!$B$6:$B$65,"小红书",'平台预审'!$J$6:$J$65,1)=1,COUNTIFS('平台预审'!$A$6:$A$65,A22,'平台预审'!$B$6:$B$65,"微信视频号",'平台预审'!$J$6:$J$65,1)=1),IF(AND(INDEX('问题归类'!$H$6:$H$35,MATCH(C22,'问题归类'!$A$6:$A$35,0))="是",INDEX('问题归类'!$K$6:$K$35,MATCH(C22,'问题归类'!$A$6:$A$35,0))&gt;0),1,0),0))</x:f>
      </x:c>
      <x:c r="T22" s="16" t="str">
        <x:f>IF(A22="","",IF(COUNTIF($A$6:A22,A22)=1,1,0))</x:f>
      </x:c>
      <x:c r="U22" s="16" t="str">
        <x:f>IF(A22="","",IF(AND(S22=1,M22="推荐"),1,0))</x:f>
      </x:c>
      <x:c r="V22" s="16" t="str">
        <x:f>IF(A22="","",IF(AND(U22=1,P22="认可",Q22&lt;&gt;""),1,0))</x:f>
      </x:c>
      <x:c r="W22" s="16" t="str">
        <x:f>IF(A22="","",IF(COUNTIF($A$6:$A$25,A22)&gt;1,"选题编号重复",IF(AND(M22="推荐",S22&lt;&gt;1),"推荐条件或完整理由未齐",IF(AND(P22="认可",Q22=""),"缺认可版本","由人工复核，不是发布许可"))))</x:f>
      </x:c>
    </x:row>
    <x:row r="23" ht="36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6" t="str">
        <x:f>IF(A23="","",IF(AND(G23="通过",H23="通过",I23="通过",J23="通过",K23="通过",OR(L23="S5",L23="S6"),N23&lt;&gt;"",O23&lt;&gt;"",COUNTIF($A$6:$A$25,A23)=1,COUNTIF('问题归类'!$A$6:$A$35,C23)=1,COUNTIFS('推荐理由'!$A$6:$A$25,A23,'推荐理由'!$M$6:$M$25,1)=1,COUNTIFS('平台预审'!$A$6:$A$65,A23,'平台预审'!$B$6:$B$65,"抖音",'平台预审'!$J$6:$J$65,1)=1,COUNTIFS('平台预审'!$A$6:$A$65,A23,'平台预审'!$B$6:$B$65,"小红书",'平台预审'!$J$6:$J$65,1)=1,COUNTIFS('平台预审'!$A$6:$A$65,A23,'平台预审'!$B$6:$B$65,"微信视频号",'平台预审'!$J$6:$J$65,1)=1),IF(AND(INDEX('问题归类'!$H$6:$H$35,MATCH(C23,'问题归类'!$A$6:$A$35,0))="是",INDEX('问题归类'!$K$6:$K$35,MATCH(C23,'问题归类'!$A$6:$A$35,0))&gt;0),1,0),0))</x:f>
      </x:c>
      <x:c r="T23" s="16" t="str">
        <x:f>IF(A23="","",IF(COUNTIF($A$6:A23,A23)=1,1,0))</x:f>
      </x:c>
      <x:c r="U23" s="16" t="str">
        <x:f>IF(A23="","",IF(AND(S23=1,M23="推荐"),1,0))</x:f>
      </x:c>
      <x:c r="V23" s="16" t="str">
        <x:f>IF(A23="","",IF(AND(U23=1,P23="认可",Q23&lt;&gt;""),1,0))</x:f>
      </x:c>
      <x:c r="W23" s="16" t="str">
        <x:f>IF(A23="","",IF(COUNTIF($A$6:$A$25,A23)&gt;1,"选题编号重复",IF(AND(M23="推荐",S23&lt;&gt;1),"推荐条件或完整理由未齐",IF(AND(P23="认可",Q23=""),"缺认可版本","由人工复核，不是发布许可"))))</x:f>
      </x:c>
    </x:row>
    <x:row r="24" ht="36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6" t="str">
        <x:f>IF(A24="","",IF(AND(G24="通过",H24="通过",I24="通过",J24="通过",K24="通过",OR(L24="S5",L24="S6"),N24&lt;&gt;"",O24&lt;&gt;"",COUNTIF($A$6:$A$25,A24)=1,COUNTIF('问题归类'!$A$6:$A$35,C24)=1,COUNTIFS('推荐理由'!$A$6:$A$25,A24,'推荐理由'!$M$6:$M$25,1)=1,COUNTIFS('平台预审'!$A$6:$A$65,A24,'平台预审'!$B$6:$B$65,"抖音",'平台预审'!$J$6:$J$65,1)=1,COUNTIFS('平台预审'!$A$6:$A$65,A24,'平台预审'!$B$6:$B$65,"小红书",'平台预审'!$J$6:$J$65,1)=1,COUNTIFS('平台预审'!$A$6:$A$65,A24,'平台预审'!$B$6:$B$65,"微信视频号",'平台预审'!$J$6:$J$65,1)=1),IF(AND(INDEX('问题归类'!$H$6:$H$35,MATCH(C24,'问题归类'!$A$6:$A$35,0))="是",INDEX('问题归类'!$K$6:$K$35,MATCH(C24,'问题归类'!$A$6:$A$35,0))&gt;0),1,0),0))</x:f>
      </x:c>
      <x:c r="T24" s="16" t="str">
        <x:f>IF(A24="","",IF(COUNTIF($A$6:A24,A24)=1,1,0))</x:f>
      </x:c>
      <x:c r="U24" s="16" t="str">
        <x:f>IF(A24="","",IF(AND(S24=1,M24="推荐"),1,0))</x:f>
      </x:c>
      <x:c r="V24" s="16" t="str">
        <x:f>IF(A24="","",IF(AND(U24=1,P24="认可",Q24&lt;&gt;""),1,0))</x:f>
      </x:c>
      <x:c r="W24" s="16" t="str">
        <x:f>IF(A24="","",IF(COUNTIF($A$6:$A$25,A24)&gt;1,"选题编号重复",IF(AND(M24="推荐",S24&lt;&gt;1),"推荐条件或完整理由未齐",IF(AND(P24="认可",Q24=""),"缺认可版本","由人工复核，不是发布许可"))))</x:f>
      </x:c>
    </x:row>
    <x:row r="25" ht="36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6" t="str">
        <x:f>IF(A25="","",IF(AND(G25="通过",H25="通过",I25="通过",J25="通过",K25="通过",OR(L25="S5",L25="S6"),N25&lt;&gt;"",O25&lt;&gt;"",COUNTIF($A$6:$A$25,A25)=1,COUNTIF('问题归类'!$A$6:$A$35,C25)=1,COUNTIFS('推荐理由'!$A$6:$A$25,A25,'推荐理由'!$M$6:$M$25,1)=1,COUNTIFS('平台预审'!$A$6:$A$65,A25,'平台预审'!$B$6:$B$65,"抖音",'平台预审'!$J$6:$J$65,1)=1,COUNTIFS('平台预审'!$A$6:$A$65,A25,'平台预审'!$B$6:$B$65,"小红书",'平台预审'!$J$6:$J$65,1)=1,COUNTIFS('平台预审'!$A$6:$A$65,A25,'平台预审'!$B$6:$B$65,"微信视频号",'平台预审'!$J$6:$J$65,1)=1),IF(AND(INDEX('问题归类'!$H$6:$H$35,MATCH(C25,'问题归类'!$A$6:$A$35,0))="是",INDEX('问题归类'!$K$6:$K$35,MATCH(C25,'问题归类'!$A$6:$A$35,0))&gt;0),1,0),0))</x:f>
      </x:c>
      <x:c r="T25" s="16" t="str">
        <x:f>IF(A25="","",IF(COUNTIF($A$6:A25,A25)=1,1,0))</x:f>
      </x:c>
      <x:c r="U25" s="16" t="str">
        <x:f>IF(A25="","",IF(AND(S25=1,M25="推荐"),1,0))</x:f>
      </x:c>
      <x:c r="V25" s="16" t="str">
        <x:f>IF(A25="","",IF(AND(U25=1,P25="认可",Q25&lt;&gt;""),1,0))</x:f>
      </x:c>
      <x:c r="W25" s="16" t="str">
        <x:f>IF(A25="","",IF(COUNTIF($A$6:$A$25,A25)&gt;1,"选题编号重复",IF(AND(M25="推荐",S25&lt;&gt;1),"推荐条件或完整理由未齐",IF(AND(P25="认可",Q25=""),"缺认可版本","由人工复核，不是发布许可"))))</x:f>
      </x:c>
    </x:row>
  </x:sheetData>
  <x:conditionalFormatting sqref="W6:W25">
    <x:cfRule type="containsText" dxfId="0" priority="1" operator="containsText" text="未齐"/>
  </x:conditionalFormatting>
  <x:dataValidations count="8">
    <x:dataValidation type="list" sqref="L6:L25">
      <x:formula1>"S1,S2,S3,S4,S5,S6"</x:formula1>
    </x:dataValidation>
    <x:dataValidation type="list" sqref="M6:M25">
      <x:formula1>"待审,推荐,暂缓,排除"</x:formula1>
    </x:dataValidation>
    <x:dataValidation type="list" sqref="P6:P25">
      <x:formula1>"待审,认可,修改,否决"</x:formula1>
    </x:dataValidation>
    <x:dataValidation type="list" sqref="G6:G25">
      <x:formula1>"通过,待补证,不通过"</x:formula1>
    </x:dataValidation>
    <x:dataValidation type="list" sqref="H6:H25">
      <x:formula1>"通过,待补证,不通过"</x:formula1>
    </x:dataValidation>
    <x:dataValidation type="list" sqref="I6:I25">
      <x:formula1>"通过,待补证,不通过"</x:formula1>
    </x:dataValidation>
    <x:dataValidation type="list" sqref="J6:J25">
      <x:formula1>"通过,待补证,不通过"</x:formula1>
    </x:dataValidation>
    <x:dataValidation type="list" sqref="K6:K25">
      <x:formula1>"通过,待补证,不通过"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c4fb07e51641a9"/>
  </x:tableParts>
</x:worksheet>
</file>

<file path=xl/worksheets/sheet10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40" hidden="0" customWidth="1"/>
    <x:col min="5" max="5" width="32" hidden="0" customWidth="1"/>
    <x:col min="6" max="6" width="36" hidden="0" customWidth="1"/>
    <x:col min="7" max="7" width="32" hidden="0" customWidth="1"/>
    <x:col min="8" max="8" width="36" hidden="0" customWidth="1"/>
    <x:col min="9" max="9" width="36" hidden="0" customWidth="1"/>
    <x:col min="10" max="10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平台预审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2" customHeight="1">
      <x:c r="A5" s="8" t="str">
        <x:v>选题TID</x:v>
      </x:c>
      <x:c r="B5" s="8" t="str">
        <x:v>平台</x:v>
      </x:c>
      <x:c r="C5" s="8" t="str">
        <x:v>初评状态</x:v>
      </x:c>
      <x:c r="D5" s="8" t="str">
        <x:v>具体原因</x:v>
      </x:c>
      <x:c r="E5" s="8" t="str">
        <x:v>账号与人群依据</x:v>
      </x:c>
      <x:c r="F5" s="8" t="str">
        <x:v>规则来源及日期</x:v>
      </x:c>
      <x:c r="G5" s="8" t="str">
        <x:v>资质与商业条件</x:v>
      </x:c>
      <x:c r="H5" s="8" t="str">
        <x:v>表达或制作风险</x:v>
      </x:c>
      <x:c r="I5" s="8" t="str">
        <x:v>待补资料与负责人</x:v>
      </x:c>
      <x:c r="J5" s="8" t="str">
        <x:v>记录完整</x:v>
      </x:c>
    </x:row>
    <x:row r="6" ht="36" customHeight="1">
      <x:c r="A6" s="11"/>
      <x:c r="B6" s="11"/>
      <x:c r="C6" s="11"/>
      <x:c r="D6" s="11"/>
      <x:c r="E6" s="11"/>
      <x:c r="F6" s="17"/>
      <x:c r="G6" s="11"/>
      <x:c r="H6" s="11"/>
      <x:c r="I6" s="11"/>
      <x:c r="J6" s="16" t="str">
        <x:f>IF(A6="","",IF(AND(OR(B6="抖音",B6="小红书",B6="微信视频号"),C6&lt;&gt;"",D6&lt;&gt;"",I6&lt;&gt;""),1,0))</x:f>
      </x:c>
    </x:row>
    <x:row r="7" ht="36" customHeight="1">
      <x:c r="A7" s="11"/>
      <x:c r="B7" s="11"/>
      <x:c r="C7" s="11"/>
      <x:c r="D7" s="11"/>
      <x:c r="E7" s="11"/>
      <x:c r="F7" s="17"/>
      <x:c r="G7" s="11"/>
      <x:c r="H7" s="11"/>
      <x:c r="I7" s="11"/>
      <x:c r="J7" s="16" t="str">
        <x:f>IF(A7="","",IF(AND(OR(B7="抖音",B7="小红书",B7="微信视频号"),C7&lt;&gt;"",D7&lt;&gt;"",I7&lt;&gt;""),1,0))</x:f>
      </x:c>
    </x:row>
    <x:row r="8" ht="36" customHeight="1">
      <x:c r="A8" s="11"/>
      <x:c r="B8" s="11"/>
      <x:c r="C8" s="11"/>
      <x:c r="D8" s="11"/>
      <x:c r="E8" s="11"/>
      <x:c r="F8" s="17"/>
      <x:c r="G8" s="11"/>
      <x:c r="H8" s="11"/>
      <x:c r="I8" s="11"/>
      <x:c r="J8" s="16" t="str">
        <x:f>IF(A8="","",IF(AND(OR(B8="抖音",B8="小红书",B8="微信视频号"),C8&lt;&gt;"",D8&lt;&gt;"",I8&lt;&gt;""),1,0))</x:f>
      </x:c>
    </x:row>
    <x:row r="9" ht="36" customHeight="1">
      <x:c r="A9" s="11"/>
      <x:c r="B9" s="11"/>
      <x:c r="C9" s="11"/>
      <x:c r="D9" s="11"/>
      <x:c r="E9" s="11"/>
      <x:c r="F9" s="17"/>
      <x:c r="G9" s="11"/>
      <x:c r="H9" s="11"/>
      <x:c r="I9" s="11"/>
      <x:c r="J9" s="16" t="str">
        <x:f>IF(A9="","",IF(AND(OR(B9="抖音",B9="小红书",B9="微信视频号"),C9&lt;&gt;"",D9&lt;&gt;"",I9&lt;&gt;""),1,0))</x:f>
      </x:c>
    </x:row>
    <x:row r="10" ht="36" customHeight="1">
      <x:c r="A10" s="11"/>
      <x:c r="B10" s="11"/>
      <x:c r="C10" s="11"/>
      <x:c r="D10" s="11"/>
      <x:c r="E10" s="11"/>
      <x:c r="F10" s="17"/>
      <x:c r="G10" s="11"/>
      <x:c r="H10" s="11"/>
      <x:c r="I10" s="11"/>
      <x:c r="J10" s="16" t="str">
        <x:f>IF(A10="","",IF(AND(OR(B10="抖音",B10="小红书",B10="微信视频号"),C10&lt;&gt;"",D10&lt;&gt;"",I10&lt;&gt;""),1,0))</x:f>
      </x:c>
    </x:row>
    <x:row r="11" ht="36" customHeight="1">
      <x:c r="A11" s="11"/>
      <x:c r="B11" s="11"/>
      <x:c r="C11" s="11"/>
      <x:c r="D11" s="11"/>
      <x:c r="E11" s="11"/>
      <x:c r="F11" s="17"/>
      <x:c r="G11" s="11"/>
      <x:c r="H11" s="11"/>
      <x:c r="I11" s="11"/>
      <x:c r="J11" s="16" t="str">
        <x:f>IF(A11="","",IF(AND(OR(B11="抖音",B11="小红书",B11="微信视频号"),C11&lt;&gt;"",D11&lt;&gt;"",I11&lt;&gt;""),1,0))</x:f>
      </x:c>
    </x:row>
    <x:row r="12" ht="36" customHeight="1">
      <x:c r="A12" s="11"/>
      <x:c r="B12" s="11"/>
      <x:c r="C12" s="11"/>
      <x:c r="D12" s="11"/>
      <x:c r="E12" s="11"/>
      <x:c r="F12" s="17"/>
      <x:c r="G12" s="11"/>
      <x:c r="H12" s="11"/>
      <x:c r="I12" s="11"/>
      <x:c r="J12" s="16" t="str">
        <x:f>IF(A12="","",IF(AND(OR(B12="抖音",B12="小红书",B12="微信视频号"),C12&lt;&gt;"",D12&lt;&gt;"",I12&lt;&gt;""),1,0))</x:f>
      </x:c>
    </x:row>
    <x:row r="13" ht="36" customHeight="1">
      <x:c r="A13" s="11"/>
      <x:c r="B13" s="11"/>
      <x:c r="C13" s="11"/>
      <x:c r="D13" s="11"/>
      <x:c r="E13" s="11"/>
      <x:c r="F13" s="17"/>
      <x:c r="G13" s="11"/>
      <x:c r="H13" s="11"/>
      <x:c r="I13" s="11"/>
      <x:c r="J13" s="16" t="str">
        <x:f>IF(A13="","",IF(AND(OR(B13="抖音",B13="小红书",B13="微信视频号"),C13&lt;&gt;"",D13&lt;&gt;"",I13&lt;&gt;""),1,0))</x:f>
      </x:c>
    </x:row>
    <x:row r="14" ht="36" customHeight="1">
      <x:c r="A14" s="11"/>
      <x:c r="B14" s="11"/>
      <x:c r="C14" s="11"/>
      <x:c r="D14" s="11"/>
      <x:c r="E14" s="11"/>
      <x:c r="F14" s="17"/>
      <x:c r="G14" s="11"/>
      <x:c r="H14" s="11"/>
      <x:c r="I14" s="11"/>
      <x:c r="J14" s="16" t="str">
        <x:f>IF(A14="","",IF(AND(OR(B14="抖音",B14="小红书",B14="微信视频号"),C14&lt;&gt;"",D14&lt;&gt;"",I14&lt;&gt;""),1,0))</x:f>
      </x:c>
    </x:row>
    <x:row r="15" ht="36" customHeight="1">
      <x:c r="A15" s="11"/>
      <x:c r="B15" s="11"/>
      <x:c r="C15" s="11"/>
      <x:c r="D15" s="11"/>
      <x:c r="E15" s="11"/>
      <x:c r="F15" s="17"/>
      <x:c r="G15" s="11"/>
      <x:c r="H15" s="11"/>
      <x:c r="I15" s="11"/>
      <x:c r="J15" s="16" t="str">
        <x:f>IF(A15="","",IF(AND(OR(B15="抖音",B15="小红书",B15="微信视频号"),C15&lt;&gt;"",D15&lt;&gt;"",I15&lt;&gt;""),1,0))</x:f>
      </x:c>
    </x:row>
    <x:row r="16" ht="36" customHeight="1">
      <x:c r="A16" s="11"/>
      <x:c r="B16" s="11"/>
      <x:c r="C16" s="11"/>
      <x:c r="D16" s="11"/>
      <x:c r="E16" s="11"/>
      <x:c r="F16" s="17"/>
      <x:c r="G16" s="11"/>
      <x:c r="H16" s="11"/>
      <x:c r="I16" s="11"/>
      <x:c r="J16" s="16" t="str">
        <x:f>IF(A16="","",IF(AND(OR(B16="抖音",B16="小红书",B16="微信视频号"),C16&lt;&gt;"",D16&lt;&gt;"",I16&lt;&gt;""),1,0))</x:f>
      </x:c>
    </x:row>
    <x:row r="17" ht="36" customHeight="1">
      <x:c r="A17" s="11"/>
      <x:c r="B17" s="11"/>
      <x:c r="C17" s="11"/>
      <x:c r="D17" s="11"/>
      <x:c r="E17" s="11"/>
      <x:c r="F17" s="17"/>
      <x:c r="G17" s="11"/>
      <x:c r="H17" s="11"/>
      <x:c r="I17" s="11"/>
      <x:c r="J17" s="16" t="str">
        <x:f>IF(A17="","",IF(AND(OR(B17="抖音",B17="小红书",B17="微信视频号"),C17&lt;&gt;"",D17&lt;&gt;"",I17&lt;&gt;""),1,0))</x:f>
      </x:c>
    </x:row>
    <x:row r="18" ht="36" customHeight="1">
      <x:c r="A18" s="11"/>
      <x:c r="B18" s="11"/>
      <x:c r="C18" s="11"/>
      <x:c r="D18" s="11"/>
      <x:c r="E18" s="11"/>
      <x:c r="F18" s="17"/>
      <x:c r="G18" s="11"/>
      <x:c r="H18" s="11"/>
      <x:c r="I18" s="11"/>
      <x:c r="J18" s="16" t="str">
        <x:f>IF(A18="","",IF(AND(OR(B18="抖音",B18="小红书",B18="微信视频号"),C18&lt;&gt;"",D18&lt;&gt;"",I18&lt;&gt;""),1,0))</x:f>
      </x:c>
    </x:row>
    <x:row r="19" ht="36" customHeight="1">
      <x:c r="A19" s="11"/>
      <x:c r="B19" s="11"/>
      <x:c r="C19" s="11"/>
      <x:c r="D19" s="11"/>
      <x:c r="E19" s="11"/>
      <x:c r="F19" s="17"/>
      <x:c r="G19" s="11"/>
      <x:c r="H19" s="11"/>
      <x:c r="I19" s="11"/>
      <x:c r="J19" s="16" t="str">
        <x:f>IF(A19="","",IF(AND(OR(B19="抖音",B19="小红书",B19="微信视频号"),C19&lt;&gt;"",D19&lt;&gt;"",I19&lt;&gt;""),1,0))</x:f>
      </x:c>
    </x:row>
    <x:row r="20" ht="36" customHeight="1">
      <x:c r="A20" s="11"/>
      <x:c r="B20" s="11"/>
      <x:c r="C20" s="11"/>
      <x:c r="D20" s="11"/>
      <x:c r="E20" s="11"/>
      <x:c r="F20" s="17"/>
      <x:c r="G20" s="11"/>
      <x:c r="H20" s="11"/>
      <x:c r="I20" s="11"/>
      <x:c r="J20" s="16" t="str">
        <x:f>IF(A20="","",IF(AND(OR(B20="抖音",B20="小红书",B20="微信视频号"),C20&lt;&gt;"",D20&lt;&gt;"",I20&lt;&gt;""),1,0))</x:f>
      </x:c>
    </x:row>
    <x:row r="21" ht="36" customHeight="1">
      <x:c r="A21" s="11"/>
      <x:c r="B21" s="11"/>
      <x:c r="C21" s="11"/>
      <x:c r="D21" s="11"/>
      <x:c r="E21" s="11"/>
      <x:c r="F21" s="17"/>
      <x:c r="G21" s="11"/>
      <x:c r="H21" s="11"/>
      <x:c r="I21" s="11"/>
      <x:c r="J21" s="16" t="str">
        <x:f>IF(A21="","",IF(AND(OR(B21="抖音",B21="小红书",B21="微信视频号"),C21&lt;&gt;"",D21&lt;&gt;"",I21&lt;&gt;""),1,0))</x:f>
      </x:c>
    </x:row>
    <x:row r="22" ht="36" customHeight="1">
      <x:c r="A22" s="11"/>
      <x:c r="B22" s="11"/>
      <x:c r="C22" s="11"/>
      <x:c r="D22" s="11"/>
      <x:c r="E22" s="11"/>
      <x:c r="F22" s="17"/>
      <x:c r="G22" s="11"/>
      <x:c r="H22" s="11"/>
      <x:c r="I22" s="11"/>
      <x:c r="J22" s="16" t="str">
        <x:f>IF(A22="","",IF(AND(OR(B22="抖音",B22="小红书",B22="微信视频号"),C22&lt;&gt;"",D22&lt;&gt;"",I22&lt;&gt;""),1,0))</x:f>
      </x:c>
    </x:row>
    <x:row r="23" ht="36" customHeight="1">
      <x:c r="A23" s="11"/>
      <x:c r="B23" s="11"/>
      <x:c r="C23" s="11"/>
      <x:c r="D23" s="11"/>
      <x:c r="E23" s="11"/>
      <x:c r="F23" s="17"/>
      <x:c r="G23" s="11"/>
      <x:c r="H23" s="11"/>
      <x:c r="I23" s="11"/>
      <x:c r="J23" s="16" t="str">
        <x:f>IF(A23="","",IF(AND(OR(B23="抖音",B23="小红书",B23="微信视频号"),C23&lt;&gt;"",D23&lt;&gt;"",I23&lt;&gt;""),1,0))</x:f>
      </x:c>
    </x:row>
    <x:row r="24" ht="36" customHeight="1">
      <x:c r="A24" s="11"/>
      <x:c r="B24" s="11"/>
      <x:c r="C24" s="11"/>
      <x:c r="D24" s="11"/>
      <x:c r="E24" s="11"/>
      <x:c r="F24" s="17"/>
      <x:c r="G24" s="11"/>
      <x:c r="H24" s="11"/>
      <x:c r="I24" s="11"/>
      <x:c r="J24" s="16" t="str">
        <x:f>IF(A24="","",IF(AND(OR(B24="抖音",B24="小红书",B24="微信视频号"),C24&lt;&gt;"",D24&lt;&gt;"",I24&lt;&gt;""),1,0))</x:f>
      </x:c>
    </x:row>
    <x:row r="25" ht="36" customHeight="1">
      <x:c r="A25" s="11"/>
      <x:c r="B25" s="11"/>
      <x:c r="C25" s="11"/>
      <x:c r="D25" s="11"/>
      <x:c r="E25" s="11"/>
      <x:c r="F25" s="17"/>
      <x:c r="G25" s="11"/>
      <x:c r="H25" s="11"/>
      <x:c r="I25" s="11"/>
      <x:c r="J25" s="16" t="str">
        <x:f>IF(A25="","",IF(AND(OR(B25="抖音",B25="小红书",B25="微信视频号"),C25&lt;&gt;"",D25&lt;&gt;"",I25&lt;&gt;""),1,0))</x:f>
      </x:c>
    </x:row>
    <x:row r="26" ht="36" customHeight="1">
      <x:c r="A26" s="11"/>
      <x:c r="B26" s="11"/>
      <x:c r="C26" s="11"/>
      <x:c r="D26" s="11"/>
      <x:c r="E26" s="11"/>
      <x:c r="F26" s="17"/>
      <x:c r="G26" s="11"/>
      <x:c r="H26" s="11"/>
      <x:c r="I26" s="11"/>
      <x:c r="J26" s="16" t="str">
        <x:f>IF(A26="","",IF(AND(OR(B26="抖音",B26="小红书",B26="微信视频号"),C26&lt;&gt;"",D26&lt;&gt;"",I26&lt;&gt;""),1,0))</x:f>
      </x:c>
    </x:row>
    <x:row r="27" ht="36" customHeight="1">
      <x:c r="A27" s="11"/>
      <x:c r="B27" s="11"/>
      <x:c r="C27" s="11"/>
      <x:c r="D27" s="11"/>
      <x:c r="E27" s="11"/>
      <x:c r="F27" s="17"/>
      <x:c r="G27" s="11"/>
      <x:c r="H27" s="11"/>
      <x:c r="I27" s="11"/>
      <x:c r="J27" s="16" t="str">
        <x:f>IF(A27="","",IF(AND(OR(B27="抖音",B27="小红书",B27="微信视频号"),C27&lt;&gt;"",D27&lt;&gt;"",I27&lt;&gt;""),1,0))</x:f>
      </x:c>
    </x:row>
    <x:row r="28" ht="36" customHeight="1">
      <x:c r="A28" s="11"/>
      <x:c r="B28" s="11"/>
      <x:c r="C28" s="11"/>
      <x:c r="D28" s="11"/>
      <x:c r="E28" s="11"/>
      <x:c r="F28" s="17"/>
      <x:c r="G28" s="11"/>
      <x:c r="H28" s="11"/>
      <x:c r="I28" s="11"/>
      <x:c r="J28" s="16" t="str">
        <x:f>IF(A28="","",IF(AND(OR(B28="抖音",B28="小红书",B28="微信视频号"),C28&lt;&gt;"",D28&lt;&gt;"",I28&lt;&gt;""),1,0))</x:f>
      </x:c>
    </x:row>
    <x:row r="29" ht="36" customHeight="1">
      <x:c r="A29" s="11"/>
      <x:c r="B29" s="11"/>
      <x:c r="C29" s="11"/>
      <x:c r="D29" s="11"/>
      <x:c r="E29" s="11"/>
      <x:c r="F29" s="17"/>
      <x:c r="G29" s="11"/>
      <x:c r="H29" s="11"/>
      <x:c r="I29" s="11"/>
      <x:c r="J29" s="16" t="str">
        <x:f>IF(A29="","",IF(AND(OR(B29="抖音",B29="小红书",B29="微信视频号"),C29&lt;&gt;"",D29&lt;&gt;"",I29&lt;&gt;""),1,0))</x:f>
      </x:c>
    </x:row>
    <x:row r="30" ht="36" customHeight="1">
      <x:c r="A30" s="11"/>
      <x:c r="B30" s="11"/>
      <x:c r="C30" s="11"/>
      <x:c r="D30" s="11"/>
      <x:c r="E30" s="11"/>
      <x:c r="F30" s="17"/>
      <x:c r="G30" s="11"/>
      <x:c r="H30" s="11"/>
      <x:c r="I30" s="11"/>
      <x:c r="J30" s="16" t="str">
        <x:f>IF(A30="","",IF(AND(OR(B30="抖音",B30="小红书",B30="微信视频号"),C30&lt;&gt;"",D30&lt;&gt;"",I30&lt;&gt;""),1,0))</x:f>
      </x:c>
    </x:row>
    <x:row r="31" ht="36" customHeight="1">
      <x:c r="A31" s="11"/>
      <x:c r="B31" s="11"/>
      <x:c r="C31" s="11"/>
      <x:c r="D31" s="11"/>
      <x:c r="E31" s="11"/>
      <x:c r="F31" s="17"/>
      <x:c r="G31" s="11"/>
      <x:c r="H31" s="11"/>
      <x:c r="I31" s="11"/>
      <x:c r="J31" s="16" t="str">
        <x:f>IF(A31="","",IF(AND(OR(B31="抖音",B31="小红书",B31="微信视频号"),C31&lt;&gt;"",D31&lt;&gt;"",I31&lt;&gt;""),1,0))</x:f>
      </x:c>
    </x:row>
    <x:row r="32" ht="36" customHeight="1">
      <x:c r="A32" s="11"/>
      <x:c r="B32" s="11"/>
      <x:c r="C32" s="11"/>
      <x:c r="D32" s="11"/>
      <x:c r="E32" s="11"/>
      <x:c r="F32" s="17"/>
      <x:c r="G32" s="11"/>
      <x:c r="H32" s="11"/>
      <x:c r="I32" s="11"/>
      <x:c r="J32" s="16" t="str">
        <x:f>IF(A32="","",IF(AND(OR(B32="抖音",B32="小红书",B32="微信视频号"),C32&lt;&gt;"",D32&lt;&gt;"",I32&lt;&gt;""),1,0))</x:f>
      </x:c>
    </x:row>
    <x:row r="33" ht="36" customHeight="1">
      <x:c r="A33" s="11"/>
      <x:c r="B33" s="11"/>
      <x:c r="C33" s="11"/>
      <x:c r="D33" s="11"/>
      <x:c r="E33" s="11"/>
      <x:c r="F33" s="17"/>
      <x:c r="G33" s="11"/>
      <x:c r="H33" s="11"/>
      <x:c r="I33" s="11"/>
      <x:c r="J33" s="16" t="str">
        <x:f>IF(A33="","",IF(AND(OR(B33="抖音",B33="小红书",B33="微信视频号"),C33&lt;&gt;"",D33&lt;&gt;"",I33&lt;&gt;""),1,0))</x:f>
      </x:c>
    </x:row>
    <x:row r="34" ht="36" customHeight="1">
      <x:c r="A34" s="11"/>
      <x:c r="B34" s="11"/>
      <x:c r="C34" s="11"/>
      <x:c r="D34" s="11"/>
      <x:c r="E34" s="11"/>
      <x:c r="F34" s="17"/>
      <x:c r="G34" s="11"/>
      <x:c r="H34" s="11"/>
      <x:c r="I34" s="11"/>
      <x:c r="J34" s="16" t="str">
        <x:f>IF(A34="","",IF(AND(OR(B34="抖音",B34="小红书",B34="微信视频号"),C34&lt;&gt;"",D34&lt;&gt;"",I34&lt;&gt;""),1,0))</x:f>
      </x:c>
    </x:row>
    <x:row r="35" ht="36" customHeight="1">
      <x:c r="A35" s="11"/>
      <x:c r="B35" s="11"/>
      <x:c r="C35" s="11"/>
      <x:c r="D35" s="11"/>
      <x:c r="E35" s="11"/>
      <x:c r="F35" s="17"/>
      <x:c r="G35" s="11"/>
      <x:c r="H35" s="11"/>
      <x:c r="I35" s="11"/>
      <x:c r="J35" s="16" t="str">
        <x:f>IF(A35="","",IF(AND(OR(B35="抖音",B35="小红书",B35="微信视频号"),C35&lt;&gt;"",D35&lt;&gt;"",I35&lt;&gt;""),1,0))</x:f>
      </x:c>
    </x:row>
    <x:row r="36" ht="36" customHeight="1">
      <x:c r="A36" s="11"/>
      <x:c r="B36" s="11"/>
      <x:c r="C36" s="11"/>
      <x:c r="D36" s="11"/>
      <x:c r="E36" s="11"/>
      <x:c r="F36" s="17"/>
      <x:c r="G36" s="11"/>
      <x:c r="H36" s="11"/>
      <x:c r="I36" s="11"/>
      <x:c r="J36" s="16" t="str">
        <x:f>IF(A36="","",IF(AND(OR(B36="抖音",B36="小红书",B36="微信视频号"),C36&lt;&gt;"",D36&lt;&gt;"",I36&lt;&gt;""),1,0))</x:f>
      </x:c>
    </x:row>
    <x:row r="37" ht="36" customHeight="1">
      <x:c r="A37" s="11"/>
      <x:c r="B37" s="11"/>
      <x:c r="C37" s="11"/>
      <x:c r="D37" s="11"/>
      <x:c r="E37" s="11"/>
      <x:c r="F37" s="17"/>
      <x:c r="G37" s="11"/>
      <x:c r="H37" s="11"/>
      <x:c r="I37" s="11"/>
      <x:c r="J37" s="16" t="str">
        <x:f>IF(A37="","",IF(AND(OR(B37="抖音",B37="小红书",B37="微信视频号"),C37&lt;&gt;"",D37&lt;&gt;"",I37&lt;&gt;""),1,0))</x:f>
      </x:c>
    </x:row>
    <x:row r="38" ht="36" customHeight="1">
      <x:c r="A38" s="11"/>
      <x:c r="B38" s="11"/>
      <x:c r="C38" s="11"/>
      <x:c r="D38" s="11"/>
      <x:c r="E38" s="11"/>
      <x:c r="F38" s="17"/>
      <x:c r="G38" s="11"/>
      <x:c r="H38" s="11"/>
      <x:c r="I38" s="11"/>
      <x:c r="J38" s="16" t="str">
        <x:f>IF(A38="","",IF(AND(OR(B38="抖音",B38="小红书",B38="微信视频号"),C38&lt;&gt;"",D38&lt;&gt;"",I38&lt;&gt;""),1,0))</x:f>
      </x:c>
    </x:row>
    <x:row r="39" ht="36" customHeight="1">
      <x:c r="A39" s="11"/>
      <x:c r="B39" s="11"/>
      <x:c r="C39" s="11"/>
      <x:c r="D39" s="11"/>
      <x:c r="E39" s="11"/>
      <x:c r="F39" s="17"/>
      <x:c r="G39" s="11"/>
      <x:c r="H39" s="11"/>
      <x:c r="I39" s="11"/>
      <x:c r="J39" s="16" t="str">
        <x:f>IF(A39="","",IF(AND(OR(B39="抖音",B39="小红书",B39="微信视频号"),C39&lt;&gt;"",D39&lt;&gt;"",I39&lt;&gt;""),1,0))</x:f>
      </x:c>
    </x:row>
    <x:row r="40" ht="36" customHeight="1">
      <x:c r="A40" s="11"/>
      <x:c r="B40" s="11"/>
      <x:c r="C40" s="11"/>
      <x:c r="D40" s="11"/>
      <x:c r="E40" s="11"/>
      <x:c r="F40" s="17"/>
      <x:c r="G40" s="11"/>
      <x:c r="H40" s="11"/>
      <x:c r="I40" s="11"/>
      <x:c r="J40" s="16" t="str">
        <x:f>IF(A40="","",IF(AND(OR(B40="抖音",B40="小红书",B40="微信视频号"),C40&lt;&gt;"",D40&lt;&gt;"",I40&lt;&gt;""),1,0))</x:f>
      </x:c>
    </x:row>
    <x:row r="41" ht="36" customHeight="1">
      <x:c r="A41" s="11"/>
      <x:c r="B41" s="11"/>
      <x:c r="C41" s="11"/>
      <x:c r="D41" s="11"/>
      <x:c r="E41" s="11"/>
      <x:c r="F41" s="17"/>
      <x:c r="G41" s="11"/>
      <x:c r="H41" s="11"/>
      <x:c r="I41" s="11"/>
      <x:c r="J41" s="16" t="str">
        <x:f>IF(A41="","",IF(AND(OR(B41="抖音",B41="小红书",B41="微信视频号"),C41&lt;&gt;"",D41&lt;&gt;"",I41&lt;&gt;""),1,0))</x:f>
      </x:c>
    </x:row>
    <x:row r="42" ht="36" customHeight="1">
      <x:c r="A42" s="11"/>
      <x:c r="B42" s="11"/>
      <x:c r="C42" s="11"/>
      <x:c r="D42" s="11"/>
      <x:c r="E42" s="11"/>
      <x:c r="F42" s="17"/>
      <x:c r="G42" s="11"/>
      <x:c r="H42" s="11"/>
      <x:c r="I42" s="11"/>
      <x:c r="J42" s="16" t="str">
        <x:f>IF(A42="","",IF(AND(OR(B42="抖音",B42="小红书",B42="微信视频号"),C42&lt;&gt;"",D42&lt;&gt;"",I42&lt;&gt;""),1,0))</x:f>
      </x:c>
    </x:row>
    <x:row r="43" ht="36" customHeight="1">
      <x:c r="A43" s="11"/>
      <x:c r="B43" s="11"/>
      <x:c r="C43" s="11"/>
      <x:c r="D43" s="11"/>
      <x:c r="E43" s="11"/>
      <x:c r="F43" s="17"/>
      <x:c r="G43" s="11"/>
      <x:c r="H43" s="11"/>
      <x:c r="I43" s="11"/>
      <x:c r="J43" s="16" t="str">
        <x:f>IF(A43="","",IF(AND(OR(B43="抖音",B43="小红书",B43="微信视频号"),C43&lt;&gt;"",D43&lt;&gt;"",I43&lt;&gt;""),1,0))</x:f>
      </x:c>
    </x:row>
    <x:row r="44" ht="36" customHeight="1">
      <x:c r="A44" s="11"/>
      <x:c r="B44" s="11"/>
      <x:c r="C44" s="11"/>
      <x:c r="D44" s="11"/>
      <x:c r="E44" s="11"/>
      <x:c r="F44" s="17"/>
      <x:c r="G44" s="11"/>
      <x:c r="H44" s="11"/>
      <x:c r="I44" s="11"/>
      <x:c r="J44" s="16" t="str">
        <x:f>IF(A44="","",IF(AND(OR(B44="抖音",B44="小红书",B44="微信视频号"),C44&lt;&gt;"",D44&lt;&gt;"",I44&lt;&gt;""),1,0))</x:f>
      </x:c>
    </x:row>
    <x:row r="45" ht="36" customHeight="1">
      <x:c r="A45" s="11"/>
      <x:c r="B45" s="11"/>
      <x:c r="C45" s="11"/>
      <x:c r="D45" s="11"/>
      <x:c r="E45" s="11"/>
      <x:c r="F45" s="17"/>
      <x:c r="G45" s="11"/>
      <x:c r="H45" s="11"/>
      <x:c r="I45" s="11"/>
      <x:c r="J45" s="16" t="str">
        <x:f>IF(A45="","",IF(AND(OR(B45="抖音",B45="小红书",B45="微信视频号"),C45&lt;&gt;"",D45&lt;&gt;"",I45&lt;&gt;""),1,0))</x:f>
      </x:c>
    </x:row>
    <x:row r="46" ht="36" customHeight="1">
      <x:c r="A46" s="11"/>
      <x:c r="B46" s="11"/>
      <x:c r="C46" s="11"/>
      <x:c r="D46" s="11"/>
      <x:c r="E46" s="11"/>
      <x:c r="F46" s="17"/>
      <x:c r="G46" s="11"/>
      <x:c r="H46" s="11"/>
      <x:c r="I46" s="11"/>
      <x:c r="J46" s="16" t="str">
        <x:f>IF(A46="","",IF(AND(OR(B46="抖音",B46="小红书",B46="微信视频号"),C46&lt;&gt;"",D46&lt;&gt;"",I46&lt;&gt;""),1,0))</x:f>
      </x:c>
    </x:row>
    <x:row r="47" ht="36" customHeight="1">
      <x:c r="A47" s="11"/>
      <x:c r="B47" s="11"/>
      <x:c r="C47" s="11"/>
      <x:c r="D47" s="11"/>
      <x:c r="E47" s="11"/>
      <x:c r="F47" s="17"/>
      <x:c r="G47" s="11"/>
      <x:c r="H47" s="11"/>
      <x:c r="I47" s="11"/>
      <x:c r="J47" s="16" t="str">
        <x:f>IF(A47="","",IF(AND(OR(B47="抖音",B47="小红书",B47="微信视频号"),C47&lt;&gt;"",D47&lt;&gt;"",I47&lt;&gt;""),1,0))</x:f>
      </x:c>
    </x:row>
    <x:row r="48" ht="36" customHeight="1">
      <x:c r="A48" s="11"/>
      <x:c r="B48" s="11"/>
      <x:c r="C48" s="11"/>
      <x:c r="D48" s="11"/>
      <x:c r="E48" s="11"/>
      <x:c r="F48" s="17"/>
      <x:c r="G48" s="11"/>
      <x:c r="H48" s="11"/>
      <x:c r="I48" s="11"/>
      <x:c r="J48" s="16" t="str">
        <x:f>IF(A48="","",IF(AND(OR(B48="抖音",B48="小红书",B48="微信视频号"),C48&lt;&gt;"",D48&lt;&gt;"",I48&lt;&gt;""),1,0))</x:f>
      </x:c>
    </x:row>
    <x:row r="49" ht="36" customHeight="1">
      <x:c r="A49" s="11"/>
      <x:c r="B49" s="11"/>
      <x:c r="C49" s="11"/>
      <x:c r="D49" s="11"/>
      <x:c r="E49" s="11"/>
      <x:c r="F49" s="17"/>
      <x:c r="G49" s="11"/>
      <x:c r="H49" s="11"/>
      <x:c r="I49" s="11"/>
      <x:c r="J49" s="16" t="str">
        <x:f>IF(A49="","",IF(AND(OR(B49="抖音",B49="小红书",B49="微信视频号"),C49&lt;&gt;"",D49&lt;&gt;"",I49&lt;&gt;""),1,0))</x:f>
      </x:c>
    </x:row>
    <x:row r="50" ht="36" customHeight="1">
      <x:c r="A50" s="11"/>
      <x:c r="B50" s="11"/>
      <x:c r="C50" s="11"/>
      <x:c r="D50" s="11"/>
      <x:c r="E50" s="11"/>
      <x:c r="F50" s="17"/>
      <x:c r="G50" s="11"/>
      <x:c r="H50" s="11"/>
      <x:c r="I50" s="11"/>
      <x:c r="J50" s="16" t="str">
        <x:f>IF(A50="","",IF(AND(OR(B50="抖音",B50="小红书",B50="微信视频号"),C50&lt;&gt;"",D50&lt;&gt;"",I50&lt;&gt;""),1,0))</x:f>
      </x:c>
    </x:row>
    <x:row r="51" ht="36" customHeight="1">
      <x:c r="A51" s="11"/>
      <x:c r="B51" s="11"/>
      <x:c r="C51" s="11"/>
      <x:c r="D51" s="11"/>
      <x:c r="E51" s="11"/>
      <x:c r="F51" s="17"/>
      <x:c r="G51" s="11"/>
      <x:c r="H51" s="11"/>
      <x:c r="I51" s="11"/>
      <x:c r="J51" s="16" t="str">
        <x:f>IF(A51="","",IF(AND(OR(B51="抖音",B51="小红书",B51="微信视频号"),C51&lt;&gt;"",D51&lt;&gt;"",I51&lt;&gt;""),1,0))</x:f>
      </x:c>
    </x:row>
    <x:row r="52" ht="36" customHeight="1">
      <x:c r="A52" s="11"/>
      <x:c r="B52" s="11"/>
      <x:c r="C52" s="11"/>
      <x:c r="D52" s="11"/>
      <x:c r="E52" s="11"/>
      <x:c r="F52" s="17"/>
      <x:c r="G52" s="11"/>
      <x:c r="H52" s="11"/>
      <x:c r="I52" s="11"/>
      <x:c r="J52" s="16" t="str">
        <x:f>IF(A52="","",IF(AND(OR(B52="抖音",B52="小红书",B52="微信视频号"),C52&lt;&gt;"",D52&lt;&gt;"",I52&lt;&gt;""),1,0))</x:f>
      </x:c>
    </x:row>
    <x:row r="53" ht="36" customHeight="1">
      <x:c r="A53" s="11"/>
      <x:c r="B53" s="11"/>
      <x:c r="C53" s="11"/>
      <x:c r="D53" s="11"/>
      <x:c r="E53" s="11"/>
      <x:c r="F53" s="17"/>
      <x:c r="G53" s="11"/>
      <x:c r="H53" s="11"/>
      <x:c r="I53" s="11"/>
      <x:c r="J53" s="16" t="str">
        <x:f>IF(A53="","",IF(AND(OR(B53="抖音",B53="小红书",B53="微信视频号"),C53&lt;&gt;"",D53&lt;&gt;"",I53&lt;&gt;""),1,0))</x:f>
      </x:c>
    </x:row>
    <x:row r="54" ht="36" customHeight="1">
      <x:c r="A54" s="11"/>
      <x:c r="B54" s="11"/>
      <x:c r="C54" s="11"/>
      <x:c r="D54" s="11"/>
      <x:c r="E54" s="11"/>
      <x:c r="F54" s="17"/>
      <x:c r="G54" s="11"/>
      <x:c r="H54" s="11"/>
      <x:c r="I54" s="11"/>
      <x:c r="J54" s="16" t="str">
        <x:f>IF(A54="","",IF(AND(OR(B54="抖音",B54="小红书",B54="微信视频号"),C54&lt;&gt;"",D54&lt;&gt;"",I54&lt;&gt;""),1,0))</x:f>
      </x:c>
    </x:row>
    <x:row r="55" ht="36" customHeight="1">
      <x:c r="A55" s="11"/>
      <x:c r="B55" s="11"/>
      <x:c r="C55" s="11"/>
      <x:c r="D55" s="11"/>
      <x:c r="E55" s="11"/>
      <x:c r="F55" s="17"/>
      <x:c r="G55" s="11"/>
      <x:c r="H55" s="11"/>
      <x:c r="I55" s="11"/>
      <x:c r="J55" s="16" t="str">
        <x:f>IF(A55="","",IF(AND(OR(B55="抖音",B55="小红书",B55="微信视频号"),C55&lt;&gt;"",D55&lt;&gt;"",I55&lt;&gt;""),1,0))</x:f>
      </x:c>
    </x:row>
    <x:row r="56" ht="36" customHeight="1">
      <x:c r="A56" s="11"/>
      <x:c r="B56" s="11"/>
      <x:c r="C56" s="11"/>
      <x:c r="D56" s="11"/>
      <x:c r="E56" s="11"/>
      <x:c r="F56" s="17"/>
      <x:c r="G56" s="11"/>
      <x:c r="H56" s="11"/>
      <x:c r="I56" s="11"/>
      <x:c r="J56" s="16" t="str">
        <x:f>IF(A56="","",IF(AND(OR(B56="抖音",B56="小红书",B56="微信视频号"),C56&lt;&gt;"",D56&lt;&gt;"",I56&lt;&gt;""),1,0))</x:f>
      </x:c>
    </x:row>
    <x:row r="57" ht="36" customHeight="1">
      <x:c r="A57" s="11"/>
      <x:c r="B57" s="11"/>
      <x:c r="C57" s="11"/>
      <x:c r="D57" s="11"/>
      <x:c r="E57" s="11"/>
      <x:c r="F57" s="17"/>
      <x:c r="G57" s="11"/>
      <x:c r="H57" s="11"/>
      <x:c r="I57" s="11"/>
      <x:c r="J57" s="16" t="str">
        <x:f>IF(A57="","",IF(AND(OR(B57="抖音",B57="小红书",B57="微信视频号"),C57&lt;&gt;"",D57&lt;&gt;"",I57&lt;&gt;""),1,0))</x:f>
      </x:c>
    </x:row>
    <x:row r="58" ht="36" customHeight="1">
      <x:c r="A58" s="11"/>
      <x:c r="B58" s="11"/>
      <x:c r="C58" s="11"/>
      <x:c r="D58" s="11"/>
      <x:c r="E58" s="11"/>
      <x:c r="F58" s="17"/>
      <x:c r="G58" s="11"/>
      <x:c r="H58" s="11"/>
      <x:c r="I58" s="11"/>
      <x:c r="J58" s="16" t="str">
        <x:f>IF(A58="","",IF(AND(OR(B58="抖音",B58="小红书",B58="微信视频号"),C58&lt;&gt;"",D58&lt;&gt;"",I58&lt;&gt;""),1,0))</x:f>
      </x:c>
    </x:row>
    <x:row r="59" ht="36" customHeight="1">
      <x:c r="A59" s="11"/>
      <x:c r="B59" s="11"/>
      <x:c r="C59" s="11"/>
      <x:c r="D59" s="11"/>
      <x:c r="E59" s="11"/>
      <x:c r="F59" s="17"/>
      <x:c r="G59" s="11"/>
      <x:c r="H59" s="11"/>
      <x:c r="I59" s="11"/>
      <x:c r="J59" s="16" t="str">
        <x:f>IF(A59="","",IF(AND(OR(B59="抖音",B59="小红书",B59="微信视频号"),C59&lt;&gt;"",D59&lt;&gt;"",I59&lt;&gt;""),1,0))</x:f>
      </x:c>
    </x:row>
    <x:row r="60" ht="36" customHeight="1">
      <x:c r="A60" s="11"/>
      <x:c r="B60" s="11"/>
      <x:c r="C60" s="11"/>
      <x:c r="D60" s="11"/>
      <x:c r="E60" s="11"/>
      <x:c r="F60" s="17"/>
      <x:c r="G60" s="11"/>
      <x:c r="H60" s="11"/>
      <x:c r="I60" s="11"/>
      <x:c r="J60" s="16" t="str">
        <x:f>IF(A60="","",IF(AND(OR(B60="抖音",B60="小红书",B60="微信视频号"),C60&lt;&gt;"",D60&lt;&gt;"",I60&lt;&gt;""),1,0))</x:f>
      </x:c>
    </x:row>
    <x:row r="61" ht="36" customHeight="1">
      <x:c r="A61" s="11"/>
      <x:c r="B61" s="11"/>
      <x:c r="C61" s="11"/>
      <x:c r="D61" s="11"/>
      <x:c r="E61" s="11"/>
      <x:c r="F61" s="17"/>
      <x:c r="G61" s="11"/>
      <x:c r="H61" s="11"/>
      <x:c r="I61" s="11"/>
      <x:c r="J61" s="16" t="str">
        <x:f>IF(A61="","",IF(AND(OR(B61="抖音",B61="小红书",B61="微信视频号"),C61&lt;&gt;"",D61&lt;&gt;"",I61&lt;&gt;""),1,0))</x:f>
      </x:c>
    </x:row>
    <x:row r="62" ht="36" customHeight="1">
      <x:c r="A62" s="11"/>
      <x:c r="B62" s="11"/>
      <x:c r="C62" s="11"/>
      <x:c r="D62" s="11"/>
      <x:c r="E62" s="11"/>
      <x:c r="F62" s="17"/>
      <x:c r="G62" s="11"/>
      <x:c r="H62" s="11"/>
      <x:c r="I62" s="11"/>
      <x:c r="J62" s="16" t="str">
        <x:f>IF(A62="","",IF(AND(OR(B62="抖音",B62="小红书",B62="微信视频号"),C62&lt;&gt;"",D62&lt;&gt;"",I62&lt;&gt;""),1,0))</x:f>
      </x:c>
    </x:row>
    <x:row r="63" ht="36" customHeight="1">
      <x:c r="A63" s="11"/>
      <x:c r="B63" s="11"/>
      <x:c r="C63" s="11"/>
      <x:c r="D63" s="11"/>
      <x:c r="E63" s="11"/>
      <x:c r="F63" s="17"/>
      <x:c r="G63" s="11"/>
      <x:c r="H63" s="11"/>
      <x:c r="I63" s="11"/>
      <x:c r="J63" s="16" t="str">
        <x:f>IF(A63="","",IF(AND(OR(B63="抖音",B63="小红书",B63="微信视频号"),C63&lt;&gt;"",D63&lt;&gt;"",I63&lt;&gt;""),1,0))</x:f>
      </x:c>
    </x:row>
    <x:row r="64" ht="36" customHeight="1">
      <x:c r="A64" s="11"/>
      <x:c r="B64" s="11"/>
      <x:c r="C64" s="11"/>
      <x:c r="D64" s="11"/>
      <x:c r="E64" s="11"/>
      <x:c r="F64" s="17"/>
      <x:c r="G64" s="11"/>
      <x:c r="H64" s="11"/>
      <x:c r="I64" s="11"/>
      <x:c r="J64" s="16" t="str">
        <x:f>IF(A64="","",IF(AND(OR(B64="抖音",B64="小红书",B64="微信视频号"),C64&lt;&gt;"",D64&lt;&gt;"",I64&lt;&gt;""),1,0))</x:f>
      </x:c>
    </x:row>
    <x:row r="65" ht="36" customHeight="1">
      <x:c r="A65" s="11"/>
      <x:c r="B65" s="11"/>
      <x:c r="C65" s="11"/>
      <x:c r="D65" s="11"/>
      <x:c r="E65" s="11"/>
      <x:c r="F65" s="17"/>
      <x:c r="G65" s="11"/>
      <x:c r="H65" s="11"/>
      <x:c r="I65" s="11"/>
      <x:c r="J65" s="16" t="str">
        <x:f>IF(A65="","",IF(AND(OR(B65="抖音",B65="小红书",B65="微信视频号"),C65&lt;&gt;"",D65&lt;&gt;"",I65&lt;&gt;""),1,0))</x:f>
      </x:c>
    </x:row>
  </x:sheetData>
  <x:dataValidations count="2">
    <x:dataValidation type="list" sqref="B6:B65">
      <x:formula1>"抖音,小红书,微信视频号"</x:formula1>
    </x:dataValidation>
    <x:dataValidation type="list" sqref="C6:C65">
      <x:formula1>"适合继续开发,需要调整内容角度,需要补充审核或资料,暂不适合该平台,对应平台规则尚未核实"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d946633bb0462d"/>
  </x:tableParts>
</x:worksheet>
</file>

<file path=xl/worksheets/sheet11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34" hidden="0" customWidth="1"/>
    <x:col min="5" max="5" width="30" hidden="0" customWidth="1"/>
    <x:col min="6" max="6" width="36" hidden="0" customWidth="1"/>
    <x:col min="7" max="7" width="40" hidden="0" customWidth="1"/>
    <x:col min="8" max="8" width="36" hidden="0" customWidth="1"/>
    <x:col min="9" max="9" width="36" hidden="0" customWidth="1"/>
    <x:col min="10" max="10" width="36" hidden="0" customWidth="1"/>
    <x:col min="11" max="11" width="60" hidden="0" customWidth="1"/>
    <x:col min="12" max="12" width="16" hidden="0" customWidth="1"/>
    <x:col min="13" max="13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推荐理由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8" t="str">
        <x:v>选题TID</x:v>
      </x:c>
      <x:c r="B5" s="8" t="str">
        <x:v>为何值得研究</x:v>
      </x:c>
      <x:c r="C5" s="8" t="str">
        <x:v>为何适合澜心社</x:v>
      </x:c>
      <x:c r="D5" s="8" t="str">
        <x:v>视频核心问题</x:v>
      </x:c>
      <x:c r="E5" s="8" t="str">
        <x:v>原创表达形式</x:v>
      </x:c>
      <x:c r="F5" s="8" t="str">
        <x:v>必要人员素材条件</x:v>
      </x:c>
      <x:c r="G5" s="8" t="str">
        <x:v>优于其他候选理由</x:v>
      </x:c>
      <x:c r="H5" s="8" t="str">
        <x:v>最强反方</x:v>
      </x:c>
      <x:c r="I5" s="8" t="str">
        <x:v>风险与未确认项</x:v>
      </x:c>
      <x:c r="J5" s="8" t="str">
        <x:v>甲方需决定什么</x:v>
      </x:c>
      <x:c r="K5" s="8" t="str">
        <x:v>完整底层逻辑说明</x:v>
      </x:c>
      <x:c r="L5" s="8" t="str">
        <x:v>人工逻辑复核</x:v>
      </x:c>
      <x:c r="M5" s="8" t="str">
        <x:v>说明完整</x:v>
      </x:c>
    </x:row>
    <x:row r="6" ht="36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6" t="str">
        <x:f>IF(A6="","",IF(AND(B6&lt;&gt;"",C6&lt;&gt;"",D6&lt;&gt;"",E6&lt;&gt;"",F6&lt;&gt;"",G6&lt;&gt;"",H6&lt;&gt;"",I6&lt;&gt;"",J6&lt;&gt;"",K6&lt;&gt;"",L6="是"),1,0))</x:f>
      </x:c>
    </x:row>
    <x:row r="7" ht="36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6" t="str">
        <x:f>IF(A7="","",IF(AND(B7&lt;&gt;"",C7&lt;&gt;"",D7&lt;&gt;"",E7&lt;&gt;"",F7&lt;&gt;"",G7&lt;&gt;"",H7&lt;&gt;"",I7&lt;&gt;"",J7&lt;&gt;"",K7&lt;&gt;"",L7="是"),1,0))</x:f>
      </x:c>
    </x:row>
    <x:row r="8" ht="36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6" t="str">
        <x:f>IF(A8="","",IF(AND(B8&lt;&gt;"",C8&lt;&gt;"",D8&lt;&gt;"",E8&lt;&gt;"",F8&lt;&gt;"",G8&lt;&gt;"",H8&lt;&gt;"",I8&lt;&gt;"",J8&lt;&gt;"",K8&lt;&gt;"",L8="是"),1,0))</x:f>
      </x:c>
    </x:row>
    <x:row r="9" ht="36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6" t="str">
        <x:f>IF(A9="","",IF(AND(B9&lt;&gt;"",C9&lt;&gt;"",D9&lt;&gt;"",E9&lt;&gt;"",F9&lt;&gt;"",G9&lt;&gt;"",H9&lt;&gt;"",I9&lt;&gt;"",J9&lt;&gt;"",K9&lt;&gt;"",L9="是"),1,0))</x:f>
      </x:c>
    </x:row>
    <x:row r="10" ht="36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6" t="str">
        <x:f>IF(A10="","",IF(AND(B10&lt;&gt;"",C10&lt;&gt;"",D10&lt;&gt;"",E10&lt;&gt;"",F10&lt;&gt;"",G10&lt;&gt;"",H10&lt;&gt;"",I10&lt;&gt;"",J10&lt;&gt;"",K10&lt;&gt;"",L10="是"),1,0))</x:f>
      </x:c>
    </x:row>
    <x:row r="11" ht="36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6" t="str">
        <x:f>IF(A11="","",IF(AND(B11&lt;&gt;"",C11&lt;&gt;"",D11&lt;&gt;"",E11&lt;&gt;"",F11&lt;&gt;"",G11&lt;&gt;"",H11&lt;&gt;"",I11&lt;&gt;"",J11&lt;&gt;"",K11&lt;&gt;"",L11="是"),1,0))</x:f>
      </x:c>
    </x:row>
    <x:row r="12" ht="36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6" t="str">
        <x:f>IF(A12="","",IF(AND(B12&lt;&gt;"",C12&lt;&gt;"",D12&lt;&gt;"",E12&lt;&gt;"",F12&lt;&gt;"",G12&lt;&gt;"",H12&lt;&gt;"",I12&lt;&gt;"",J12&lt;&gt;"",K12&lt;&gt;"",L12="是"),1,0))</x:f>
      </x:c>
    </x:row>
    <x:row r="13" ht="36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6" t="str">
        <x:f>IF(A13="","",IF(AND(B13&lt;&gt;"",C13&lt;&gt;"",D13&lt;&gt;"",E13&lt;&gt;"",F13&lt;&gt;"",G13&lt;&gt;"",H13&lt;&gt;"",I13&lt;&gt;"",J13&lt;&gt;"",K13&lt;&gt;"",L13="是"),1,0))</x:f>
      </x:c>
    </x:row>
    <x:row r="14" ht="36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6" t="str">
        <x:f>IF(A14="","",IF(AND(B14&lt;&gt;"",C14&lt;&gt;"",D14&lt;&gt;"",E14&lt;&gt;"",F14&lt;&gt;"",G14&lt;&gt;"",H14&lt;&gt;"",I14&lt;&gt;"",J14&lt;&gt;"",K14&lt;&gt;"",L14="是"),1,0))</x:f>
      </x:c>
    </x:row>
    <x:row r="15" ht="36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6" t="str">
        <x:f>IF(A15="","",IF(AND(B15&lt;&gt;"",C15&lt;&gt;"",D15&lt;&gt;"",E15&lt;&gt;"",F15&lt;&gt;"",G15&lt;&gt;"",H15&lt;&gt;"",I15&lt;&gt;"",J15&lt;&gt;"",K15&lt;&gt;"",L15="是"),1,0))</x:f>
      </x:c>
    </x:row>
    <x:row r="16" ht="36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6" t="str">
        <x:f>IF(A16="","",IF(AND(B16&lt;&gt;"",C16&lt;&gt;"",D16&lt;&gt;"",E16&lt;&gt;"",F16&lt;&gt;"",G16&lt;&gt;"",H16&lt;&gt;"",I16&lt;&gt;"",J16&lt;&gt;"",K16&lt;&gt;"",L16="是"),1,0))</x:f>
      </x:c>
    </x:row>
    <x:row r="17" ht="36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6" t="str">
        <x:f>IF(A17="","",IF(AND(B17&lt;&gt;"",C17&lt;&gt;"",D17&lt;&gt;"",E17&lt;&gt;"",F17&lt;&gt;"",G17&lt;&gt;"",H17&lt;&gt;"",I17&lt;&gt;"",J17&lt;&gt;"",K17&lt;&gt;"",L17="是"),1,0))</x:f>
      </x:c>
    </x:row>
    <x:row r="18" ht="36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6" t="str">
        <x:f>IF(A18="","",IF(AND(B18&lt;&gt;"",C18&lt;&gt;"",D18&lt;&gt;"",E18&lt;&gt;"",F18&lt;&gt;"",G18&lt;&gt;"",H18&lt;&gt;"",I18&lt;&gt;"",J18&lt;&gt;"",K18&lt;&gt;"",L18="是"),1,0))</x:f>
      </x:c>
    </x:row>
    <x:row r="19" ht="36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6" t="str">
        <x:f>IF(A19="","",IF(AND(B19&lt;&gt;"",C19&lt;&gt;"",D19&lt;&gt;"",E19&lt;&gt;"",F19&lt;&gt;"",G19&lt;&gt;"",H19&lt;&gt;"",I19&lt;&gt;"",J19&lt;&gt;"",K19&lt;&gt;"",L19="是"),1,0))</x:f>
      </x:c>
    </x:row>
    <x:row r="20" ht="36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6" t="str">
        <x:f>IF(A20="","",IF(AND(B20&lt;&gt;"",C20&lt;&gt;"",D20&lt;&gt;"",E20&lt;&gt;"",F20&lt;&gt;"",G20&lt;&gt;"",H20&lt;&gt;"",I20&lt;&gt;"",J20&lt;&gt;"",K20&lt;&gt;"",L20="是"),1,0))</x:f>
      </x:c>
    </x:row>
    <x:row r="21" ht="36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6" t="str">
        <x:f>IF(A21="","",IF(AND(B21&lt;&gt;"",C21&lt;&gt;"",D21&lt;&gt;"",E21&lt;&gt;"",F21&lt;&gt;"",G21&lt;&gt;"",H21&lt;&gt;"",I21&lt;&gt;"",J21&lt;&gt;"",K21&lt;&gt;"",L21="是"),1,0))</x:f>
      </x:c>
    </x:row>
    <x:row r="22" ht="36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6" t="str">
        <x:f>IF(A22="","",IF(AND(B22&lt;&gt;"",C22&lt;&gt;"",D22&lt;&gt;"",E22&lt;&gt;"",F22&lt;&gt;"",G22&lt;&gt;"",H22&lt;&gt;"",I22&lt;&gt;"",J22&lt;&gt;"",K22&lt;&gt;"",L22="是"),1,0))</x:f>
      </x:c>
    </x:row>
    <x:row r="23" ht="36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6" t="str">
        <x:f>IF(A23="","",IF(AND(B23&lt;&gt;"",C23&lt;&gt;"",D23&lt;&gt;"",E23&lt;&gt;"",F23&lt;&gt;"",G23&lt;&gt;"",H23&lt;&gt;"",I23&lt;&gt;"",J23&lt;&gt;"",K23&lt;&gt;"",L23="是"),1,0))</x:f>
      </x:c>
    </x:row>
    <x:row r="24" ht="36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6" t="str">
        <x:f>IF(A24="","",IF(AND(B24&lt;&gt;"",C24&lt;&gt;"",D24&lt;&gt;"",E24&lt;&gt;"",F24&lt;&gt;"",G24&lt;&gt;"",H24&lt;&gt;"",I24&lt;&gt;"",J24&lt;&gt;"",K24&lt;&gt;"",L24="是"),1,0))</x:f>
      </x:c>
    </x:row>
    <x:row r="25" ht="36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6" t="str">
        <x:f>IF(A25="","",IF(AND(B25&lt;&gt;"",C25&lt;&gt;"",D25&lt;&gt;"",E25&lt;&gt;"",F25&lt;&gt;"",G25&lt;&gt;"",H25&lt;&gt;"",I25&lt;&gt;"",J25&lt;&gt;"",K25&lt;&gt;"",L25="是"),1,0))</x:f>
      </x:c>
    </x:row>
  </x:sheetData>
  <x:dataValidations count="1">
    <x:dataValidation type="list" sqref="L6:L25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71c9a0ae324128"/>
  </x:tableParts>
</x:worksheet>
</file>

<file path=xl/worksheets/sheet12.xml><?xml version="1.0" encoding="utf-8"?>
<x:worksheet xmlns:x="http://schemas.openxmlformats.org/spreadsheetml/2006/main">
  <x:sheetPr>
    <x:tabColor rgb="FF24445B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22" hidden="0" customWidth="1"/>
    <x:col min="5" max="5" width="46" hidden="0" customWidth="1"/>
    <x:col min="6" max="6" width="16" hidden="0" customWidth="1"/>
    <x:col min="7" max="7" width="30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证据索引</x:v>
      </x:c>
      <x:c r="B2" s="1"/>
      <x:c r="C2" s="1"/>
      <x:c r="D2" s="1"/>
      <x:c r="E2" s="1"/>
      <x:c r="F2" s="1"/>
      <x:c r="G2" s="1"/>
      <x:c r="H2" s="1"/>
    </x:row>
    <x:row r="3">
      <x:c r="A3" s="3" t="str">
        <x:v>V2.1  2026-10-19  浅黄输入；浅灰计算。空白模板未实际执行。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42" customHeight="1">
      <x:c r="A5" s="8" t="str">
        <x:v>证据EID</x:v>
      </x:c>
      <x:c r="B5" s="8" t="str">
        <x:v>笔记NID</x:v>
      </x:c>
      <x:c r="C5" s="8" t="str">
        <x:v>来源页面</x:v>
      </x:c>
      <x:c r="D5" s="8" t="str">
        <x:v>观察时间</x:v>
      </x:c>
      <x:c r="E5" s="8" t="str">
        <x:v>保存位置或截图编号</x:v>
      </x:c>
      <x:c r="F5" s="8" t="str">
        <x:v>隐私安全</x:v>
      </x:c>
      <x:c r="G5" s="8" t="str">
        <x:v>支持对象</x:v>
      </x:c>
      <x:c r="H5" s="8" t="str">
        <x:v>定位状态</x:v>
      </x:c>
    </x:row>
    <x:row r="6" ht="36" customHeight="1">
      <x:c r="A6" s="11"/>
      <x:c r="B6" s="11"/>
      <x:c r="C6" s="11"/>
      <x:c r="D6" s="17"/>
      <x:c r="E6" s="11"/>
      <x:c r="F6" s="11"/>
      <x:c r="G6" s="11"/>
      <x:c r="H6" s="11"/>
    </x:row>
    <x:row r="7" ht="36" customHeight="1">
      <x:c r="A7" s="11"/>
      <x:c r="B7" s="11"/>
      <x:c r="C7" s="11"/>
      <x:c r="D7" s="17"/>
      <x:c r="E7" s="11"/>
      <x:c r="F7" s="11"/>
      <x:c r="G7" s="11"/>
      <x:c r="H7" s="11"/>
    </x:row>
    <x:row r="8" ht="36" customHeight="1">
      <x:c r="A8" s="11"/>
      <x:c r="B8" s="11"/>
      <x:c r="C8" s="11"/>
      <x:c r="D8" s="17"/>
      <x:c r="E8" s="11"/>
      <x:c r="F8" s="11"/>
      <x:c r="G8" s="11"/>
      <x:c r="H8" s="11"/>
    </x:row>
    <x:row r="9" ht="36" customHeight="1">
      <x:c r="A9" s="11"/>
      <x:c r="B9" s="11"/>
      <x:c r="C9" s="11"/>
      <x:c r="D9" s="17"/>
      <x:c r="E9" s="11"/>
      <x:c r="F9" s="11"/>
      <x:c r="G9" s="11"/>
      <x:c r="H9" s="11"/>
    </x:row>
    <x:row r="10" ht="36" customHeight="1">
      <x:c r="A10" s="11"/>
      <x:c r="B10" s="11"/>
      <x:c r="C10" s="11"/>
      <x:c r="D10" s="17"/>
      <x:c r="E10" s="11"/>
      <x:c r="F10" s="11"/>
      <x:c r="G10" s="11"/>
      <x:c r="H10" s="11"/>
    </x:row>
    <x:row r="11" ht="36" customHeight="1">
      <x:c r="A11" s="11"/>
      <x:c r="B11" s="11"/>
      <x:c r="C11" s="11"/>
      <x:c r="D11" s="17"/>
      <x:c r="E11" s="11"/>
      <x:c r="F11" s="11"/>
      <x:c r="G11" s="11"/>
      <x:c r="H11" s="11"/>
    </x:row>
    <x:row r="12" ht="36" customHeight="1">
      <x:c r="A12" s="11"/>
      <x:c r="B12" s="11"/>
      <x:c r="C12" s="11"/>
      <x:c r="D12" s="17"/>
      <x:c r="E12" s="11"/>
      <x:c r="F12" s="11"/>
      <x:c r="G12" s="11"/>
      <x:c r="H12" s="11"/>
    </x:row>
    <x:row r="13" ht="36" customHeight="1">
      <x:c r="A13" s="11"/>
      <x:c r="B13" s="11"/>
      <x:c r="C13" s="11"/>
      <x:c r="D13" s="17"/>
      <x:c r="E13" s="11"/>
      <x:c r="F13" s="11"/>
      <x:c r="G13" s="11"/>
      <x:c r="H13" s="11"/>
    </x:row>
    <x:row r="14" ht="36" customHeight="1">
      <x:c r="A14" s="11"/>
      <x:c r="B14" s="11"/>
      <x:c r="C14" s="11"/>
      <x:c r="D14" s="17"/>
      <x:c r="E14" s="11"/>
      <x:c r="F14" s="11"/>
      <x:c r="G14" s="11"/>
      <x:c r="H14" s="11"/>
    </x:row>
    <x:row r="15" ht="36" customHeight="1">
      <x:c r="A15" s="11"/>
      <x:c r="B15" s="11"/>
      <x:c r="C15" s="11"/>
      <x:c r="D15" s="17"/>
      <x:c r="E15" s="11"/>
      <x:c r="F15" s="11"/>
      <x:c r="G15" s="11"/>
      <x:c r="H15" s="11"/>
    </x:row>
    <x:row r="16" ht="36" customHeight="1">
      <x:c r="A16" s="11"/>
      <x:c r="B16" s="11"/>
      <x:c r="C16" s="11"/>
      <x:c r="D16" s="17"/>
      <x:c r="E16" s="11"/>
      <x:c r="F16" s="11"/>
      <x:c r="G16" s="11"/>
      <x:c r="H16" s="11"/>
    </x:row>
    <x:row r="17" ht="36" customHeight="1">
      <x:c r="A17" s="11"/>
      <x:c r="B17" s="11"/>
      <x:c r="C17" s="11"/>
      <x:c r="D17" s="17"/>
      <x:c r="E17" s="11"/>
      <x:c r="F17" s="11"/>
      <x:c r="G17" s="11"/>
      <x:c r="H17" s="11"/>
    </x:row>
    <x:row r="18" ht="36" customHeight="1">
      <x:c r="A18" s="11"/>
      <x:c r="B18" s="11"/>
      <x:c r="C18" s="11"/>
      <x:c r="D18" s="17"/>
      <x:c r="E18" s="11"/>
      <x:c r="F18" s="11"/>
      <x:c r="G18" s="11"/>
      <x:c r="H18" s="11"/>
    </x:row>
    <x:row r="19" ht="36" customHeight="1">
      <x:c r="A19" s="11"/>
      <x:c r="B19" s="11"/>
      <x:c r="C19" s="11"/>
      <x:c r="D19" s="17"/>
      <x:c r="E19" s="11"/>
      <x:c r="F19" s="11"/>
      <x:c r="G19" s="11"/>
      <x:c r="H19" s="11"/>
    </x:row>
    <x:row r="20" ht="36" customHeight="1">
      <x:c r="A20" s="11"/>
      <x:c r="B20" s="11"/>
      <x:c r="C20" s="11"/>
      <x:c r="D20" s="17"/>
      <x:c r="E20" s="11"/>
      <x:c r="F20" s="11"/>
      <x:c r="G20" s="11"/>
      <x:c r="H20" s="11"/>
    </x:row>
    <x:row r="21" ht="36" customHeight="1">
      <x:c r="A21" s="11"/>
      <x:c r="B21" s="11"/>
      <x:c r="C21" s="11"/>
      <x:c r="D21" s="17"/>
      <x:c r="E21" s="11"/>
      <x:c r="F21" s="11"/>
      <x:c r="G21" s="11"/>
      <x:c r="H21" s="11"/>
    </x:row>
    <x:row r="22" ht="36" customHeight="1">
      <x:c r="A22" s="11"/>
      <x:c r="B22" s="11"/>
      <x:c r="C22" s="11"/>
      <x:c r="D22" s="17"/>
      <x:c r="E22" s="11"/>
      <x:c r="F22" s="11"/>
      <x:c r="G22" s="11"/>
      <x:c r="H22" s="11"/>
    </x:row>
    <x:row r="23" ht="36" customHeight="1">
      <x:c r="A23" s="11"/>
      <x:c r="B23" s="11"/>
      <x:c r="C23" s="11"/>
      <x:c r="D23" s="17"/>
      <x:c r="E23" s="11"/>
      <x:c r="F23" s="11"/>
      <x:c r="G23" s="11"/>
      <x:c r="H23" s="11"/>
    </x:row>
    <x:row r="24" ht="36" customHeight="1">
      <x:c r="A24" s="11"/>
      <x:c r="B24" s="11"/>
      <x:c r="C24" s="11"/>
      <x:c r="D24" s="17"/>
      <x:c r="E24" s="11"/>
      <x:c r="F24" s="11"/>
      <x:c r="G24" s="11"/>
      <x:c r="H24" s="11"/>
    </x:row>
    <x:row r="25" ht="36" customHeight="1">
      <x:c r="A25" s="11"/>
      <x:c r="B25" s="11"/>
      <x:c r="C25" s="11"/>
      <x:c r="D25" s="17"/>
      <x:c r="E25" s="11"/>
      <x:c r="F25" s="11"/>
      <x:c r="G25" s="11"/>
      <x:c r="H25" s="11"/>
    </x:row>
    <x:row r="26" ht="36" customHeight="1">
      <x:c r="A26" s="11"/>
      <x:c r="B26" s="11"/>
      <x:c r="C26" s="11"/>
      <x:c r="D26" s="17"/>
      <x:c r="E26" s="11"/>
      <x:c r="F26" s="11"/>
      <x:c r="G26" s="11"/>
      <x:c r="H26" s="11"/>
    </x:row>
    <x:row r="27" ht="36" customHeight="1">
      <x:c r="A27" s="11"/>
      <x:c r="B27" s="11"/>
      <x:c r="C27" s="11"/>
      <x:c r="D27" s="17"/>
      <x:c r="E27" s="11"/>
      <x:c r="F27" s="11"/>
      <x:c r="G27" s="11"/>
      <x:c r="H27" s="11"/>
    </x:row>
    <x:row r="28" ht="36" customHeight="1">
      <x:c r="A28" s="11"/>
      <x:c r="B28" s="11"/>
      <x:c r="C28" s="11"/>
      <x:c r="D28" s="17"/>
      <x:c r="E28" s="11"/>
      <x:c r="F28" s="11"/>
      <x:c r="G28" s="11"/>
      <x:c r="H28" s="11"/>
    </x:row>
    <x:row r="29" ht="36" customHeight="1">
      <x:c r="A29" s="11"/>
      <x:c r="B29" s="11"/>
      <x:c r="C29" s="11"/>
      <x:c r="D29" s="17"/>
      <x:c r="E29" s="11"/>
      <x:c r="F29" s="11"/>
      <x:c r="G29" s="11"/>
      <x:c r="H29" s="11"/>
    </x:row>
    <x:row r="30" ht="36" customHeight="1">
      <x:c r="A30" s="11"/>
      <x:c r="B30" s="11"/>
      <x:c r="C30" s="11"/>
      <x:c r="D30" s="17"/>
      <x:c r="E30" s="11"/>
      <x:c r="F30" s="11"/>
      <x:c r="G30" s="11"/>
      <x:c r="H30" s="11"/>
    </x:row>
    <x:row r="31" ht="36" customHeight="1">
      <x:c r="A31" s="11"/>
      <x:c r="B31" s="11"/>
      <x:c r="C31" s="11"/>
      <x:c r="D31" s="17"/>
      <x:c r="E31" s="11"/>
      <x:c r="F31" s="11"/>
      <x:c r="G31" s="11"/>
      <x:c r="H31" s="11"/>
    </x:row>
    <x:row r="32" ht="36" customHeight="1">
      <x:c r="A32" s="11"/>
      <x:c r="B32" s="11"/>
      <x:c r="C32" s="11"/>
      <x:c r="D32" s="17"/>
      <x:c r="E32" s="11"/>
      <x:c r="F32" s="11"/>
      <x:c r="G32" s="11"/>
      <x:c r="H32" s="11"/>
    </x:row>
    <x:row r="33" ht="36" customHeight="1">
      <x:c r="A33" s="11"/>
      <x:c r="B33" s="11"/>
      <x:c r="C33" s="11"/>
      <x:c r="D33" s="17"/>
      <x:c r="E33" s="11"/>
      <x:c r="F33" s="11"/>
      <x:c r="G33" s="11"/>
      <x:c r="H33" s="11"/>
    </x:row>
    <x:row r="34" ht="36" customHeight="1">
      <x:c r="A34" s="11"/>
      <x:c r="B34" s="11"/>
      <x:c r="C34" s="11"/>
      <x:c r="D34" s="17"/>
      <x:c r="E34" s="11"/>
      <x:c r="F34" s="11"/>
      <x:c r="G34" s="11"/>
      <x:c r="H34" s="11"/>
    </x:row>
    <x:row r="35" ht="36" customHeight="1">
      <x:c r="A35" s="11"/>
      <x:c r="B35" s="11"/>
      <x:c r="C35" s="11"/>
      <x:c r="D35" s="17"/>
      <x:c r="E35" s="11"/>
      <x:c r="F35" s="11"/>
      <x:c r="G35" s="11"/>
      <x:c r="H35" s="11"/>
    </x:row>
    <x:row r="36" ht="36" customHeight="1">
      <x:c r="A36" s="11"/>
      <x:c r="B36" s="11"/>
      <x:c r="C36" s="11"/>
      <x:c r="D36" s="17"/>
      <x:c r="E36" s="11"/>
      <x:c r="F36" s="11"/>
      <x:c r="G36" s="11"/>
      <x:c r="H36" s="11"/>
    </x:row>
    <x:row r="37" ht="36" customHeight="1">
      <x:c r="A37" s="11"/>
      <x:c r="B37" s="11"/>
      <x:c r="C37" s="11"/>
      <x:c r="D37" s="17"/>
      <x:c r="E37" s="11"/>
      <x:c r="F37" s="11"/>
      <x:c r="G37" s="11"/>
      <x:c r="H37" s="11"/>
    </x:row>
    <x:row r="38" ht="36" customHeight="1">
      <x:c r="A38" s="11"/>
      <x:c r="B38" s="11"/>
      <x:c r="C38" s="11"/>
      <x:c r="D38" s="17"/>
      <x:c r="E38" s="11"/>
      <x:c r="F38" s="11"/>
      <x:c r="G38" s="11"/>
      <x:c r="H38" s="11"/>
    </x:row>
    <x:row r="39" ht="36" customHeight="1">
      <x:c r="A39" s="11"/>
      <x:c r="B39" s="11"/>
      <x:c r="C39" s="11"/>
      <x:c r="D39" s="17"/>
      <x:c r="E39" s="11"/>
      <x:c r="F39" s="11"/>
      <x:c r="G39" s="11"/>
      <x:c r="H39" s="11"/>
    </x:row>
    <x:row r="40" ht="36" customHeight="1">
      <x:c r="A40" s="11"/>
      <x:c r="B40" s="11"/>
      <x:c r="C40" s="11"/>
      <x:c r="D40" s="17"/>
      <x:c r="E40" s="11"/>
      <x:c r="F40" s="11"/>
      <x:c r="G40" s="11"/>
      <x:c r="H40" s="11"/>
    </x:row>
    <x:row r="41" ht="36" customHeight="1">
      <x:c r="A41" s="11"/>
      <x:c r="B41" s="11"/>
      <x:c r="C41" s="11"/>
      <x:c r="D41" s="17"/>
      <x:c r="E41" s="11"/>
      <x:c r="F41" s="11"/>
      <x:c r="G41" s="11"/>
      <x:c r="H41" s="11"/>
    </x:row>
    <x:row r="42" ht="36" customHeight="1">
      <x:c r="A42" s="11"/>
      <x:c r="B42" s="11"/>
      <x:c r="C42" s="11"/>
      <x:c r="D42" s="17"/>
      <x:c r="E42" s="11"/>
      <x:c r="F42" s="11"/>
      <x:c r="G42" s="11"/>
      <x:c r="H42" s="11"/>
    </x:row>
    <x:row r="43" ht="36" customHeight="1">
      <x:c r="A43" s="11"/>
      <x:c r="B43" s="11"/>
      <x:c r="C43" s="11"/>
      <x:c r="D43" s="17"/>
      <x:c r="E43" s="11"/>
      <x:c r="F43" s="11"/>
      <x:c r="G43" s="11"/>
      <x:c r="H43" s="11"/>
    </x:row>
    <x:row r="44" ht="36" customHeight="1">
      <x:c r="A44" s="11"/>
      <x:c r="B44" s="11"/>
      <x:c r="C44" s="11"/>
      <x:c r="D44" s="17"/>
      <x:c r="E44" s="11"/>
      <x:c r="F44" s="11"/>
      <x:c r="G44" s="11"/>
      <x:c r="H44" s="11"/>
    </x:row>
    <x:row r="45" ht="36" customHeight="1">
      <x:c r="A45" s="11"/>
      <x:c r="B45" s="11"/>
      <x:c r="C45" s="11"/>
      <x:c r="D45" s="17"/>
      <x:c r="E45" s="11"/>
      <x:c r="F45" s="11"/>
      <x:c r="G45" s="11"/>
      <x:c r="H45" s="11"/>
    </x:row>
    <x:row r="46" ht="36" customHeight="1">
      <x:c r="A46" s="11"/>
      <x:c r="B46" s="11"/>
      <x:c r="C46" s="11"/>
      <x:c r="D46" s="17"/>
      <x:c r="E46" s="11"/>
      <x:c r="F46" s="11"/>
      <x:c r="G46" s="11"/>
      <x:c r="H46" s="11"/>
    </x:row>
    <x:row r="47" ht="36" customHeight="1">
      <x:c r="A47" s="11"/>
      <x:c r="B47" s="11"/>
      <x:c r="C47" s="11"/>
      <x:c r="D47" s="17"/>
      <x:c r="E47" s="11"/>
      <x:c r="F47" s="11"/>
      <x:c r="G47" s="11"/>
      <x:c r="H47" s="11"/>
    </x:row>
    <x:row r="48" ht="36" customHeight="1">
      <x:c r="A48" s="11"/>
      <x:c r="B48" s="11"/>
      <x:c r="C48" s="11"/>
      <x:c r="D48" s="17"/>
      <x:c r="E48" s="11"/>
      <x:c r="F48" s="11"/>
      <x:c r="G48" s="11"/>
      <x:c r="H48" s="11"/>
    </x:row>
    <x:row r="49" ht="36" customHeight="1">
      <x:c r="A49" s="11"/>
      <x:c r="B49" s="11"/>
      <x:c r="C49" s="11"/>
      <x:c r="D49" s="17"/>
      <x:c r="E49" s="11"/>
      <x:c r="F49" s="11"/>
      <x:c r="G49" s="11"/>
      <x:c r="H49" s="11"/>
    </x:row>
    <x:row r="50" ht="36" customHeight="1">
      <x:c r="A50" s="11"/>
      <x:c r="B50" s="11"/>
      <x:c r="C50" s="11"/>
      <x:c r="D50" s="17"/>
      <x:c r="E50" s="11"/>
      <x:c r="F50" s="11"/>
      <x:c r="G50" s="11"/>
      <x:c r="H50" s="11"/>
    </x:row>
    <x:row r="51" ht="36" customHeight="1">
      <x:c r="A51" s="11"/>
      <x:c r="B51" s="11"/>
      <x:c r="C51" s="11"/>
      <x:c r="D51" s="17"/>
      <x:c r="E51" s="11"/>
      <x:c r="F51" s="11"/>
      <x:c r="G51" s="11"/>
      <x:c r="H51" s="11"/>
    </x:row>
    <x:row r="52" ht="36" customHeight="1">
      <x:c r="A52" s="11"/>
      <x:c r="B52" s="11"/>
      <x:c r="C52" s="11"/>
      <x:c r="D52" s="17"/>
      <x:c r="E52" s="11"/>
      <x:c r="F52" s="11"/>
      <x:c r="G52" s="11"/>
      <x:c r="H52" s="11"/>
    </x:row>
    <x:row r="53" ht="36" customHeight="1">
      <x:c r="A53" s="11"/>
      <x:c r="B53" s="11"/>
      <x:c r="C53" s="11"/>
      <x:c r="D53" s="17"/>
      <x:c r="E53" s="11"/>
      <x:c r="F53" s="11"/>
      <x:c r="G53" s="11"/>
      <x:c r="H53" s="11"/>
    </x:row>
    <x:row r="54" ht="36" customHeight="1">
      <x:c r="A54" s="11"/>
      <x:c r="B54" s="11"/>
      <x:c r="C54" s="11"/>
      <x:c r="D54" s="17"/>
      <x:c r="E54" s="11"/>
      <x:c r="F54" s="11"/>
      <x:c r="G54" s="11"/>
      <x:c r="H54" s="11"/>
    </x:row>
    <x:row r="55" ht="36" customHeight="1">
      <x:c r="A55" s="11"/>
      <x:c r="B55" s="11"/>
      <x:c r="C55" s="11"/>
      <x:c r="D55" s="17"/>
      <x:c r="E55" s="11"/>
      <x:c r="F55" s="11"/>
      <x:c r="G55" s="11"/>
      <x:c r="H55" s="11"/>
    </x:row>
    <x:row r="56" ht="36" customHeight="1">
      <x:c r="A56" s="11"/>
      <x:c r="B56" s="11"/>
      <x:c r="C56" s="11"/>
      <x:c r="D56" s="17"/>
      <x:c r="E56" s="11"/>
      <x:c r="F56" s="11"/>
      <x:c r="G56" s="11"/>
      <x:c r="H56" s="11"/>
    </x:row>
    <x:row r="57" ht="36" customHeight="1">
      <x:c r="A57" s="11"/>
      <x:c r="B57" s="11"/>
      <x:c r="C57" s="11"/>
      <x:c r="D57" s="17"/>
      <x:c r="E57" s="11"/>
      <x:c r="F57" s="11"/>
      <x:c r="G57" s="11"/>
      <x:c r="H57" s="11"/>
    </x:row>
    <x:row r="58" ht="36" customHeight="1">
      <x:c r="A58" s="11"/>
      <x:c r="B58" s="11"/>
      <x:c r="C58" s="11"/>
      <x:c r="D58" s="17"/>
      <x:c r="E58" s="11"/>
      <x:c r="F58" s="11"/>
      <x:c r="G58" s="11"/>
      <x:c r="H58" s="11"/>
    </x:row>
    <x:row r="59" ht="36" customHeight="1">
      <x:c r="A59" s="11"/>
      <x:c r="B59" s="11"/>
      <x:c r="C59" s="11"/>
      <x:c r="D59" s="17"/>
      <x:c r="E59" s="11"/>
      <x:c r="F59" s="11"/>
      <x:c r="G59" s="11"/>
      <x:c r="H59" s="11"/>
    </x:row>
    <x:row r="60" ht="36" customHeight="1">
      <x:c r="A60" s="11"/>
      <x:c r="B60" s="11"/>
      <x:c r="C60" s="11"/>
      <x:c r="D60" s="17"/>
      <x:c r="E60" s="11"/>
      <x:c r="F60" s="11"/>
      <x:c r="G60" s="11"/>
      <x:c r="H60" s="11"/>
    </x:row>
    <x:row r="61" ht="36" customHeight="1">
      <x:c r="A61" s="11"/>
      <x:c r="B61" s="11"/>
      <x:c r="C61" s="11"/>
      <x:c r="D61" s="17"/>
      <x:c r="E61" s="11"/>
      <x:c r="F61" s="11"/>
      <x:c r="G61" s="11"/>
      <x:c r="H61" s="11"/>
    </x:row>
    <x:row r="62" ht="36" customHeight="1">
      <x:c r="A62" s="11"/>
      <x:c r="B62" s="11"/>
      <x:c r="C62" s="11"/>
      <x:c r="D62" s="17"/>
      <x:c r="E62" s="11"/>
      <x:c r="F62" s="11"/>
      <x:c r="G62" s="11"/>
      <x:c r="H62" s="11"/>
    </x:row>
    <x:row r="63" ht="36" customHeight="1">
      <x:c r="A63" s="11"/>
      <x:c r="B63" s="11"/>
      <x:c r="C63" s="11"/>
      <x:c r="D63" s="17"/>
      <x:c r="E63" s="11"/>
      <x:c r="F63" s="11"/>
      <x:c r="G63" s="11"/>
      <x:c r="H63" s="11"/>
    </x:row>
    <x:row r="64" ht="36" customHeight="1">
      <x:c r="A64" s="11"/>
      <x:c r="B64" s="11"/>
      <x:c r="C64" s="11"/>
      <x:c r="D64" s="17"/>
      <x:c r="E64" s="11"/>
      <x:c r="F64" s="11"/>
      <x:c r="G64" s="11"/>
      <x:c r="H64" s="11"/>
    </x:row>
    <x:row r="65" ht="36" customHeight="1">
      <x:c r="A65" s="11"/>
      <x:c r="B65" s="11"/>
      <x:c r="C65" s="11"/>
      <x:c r="D65" s="17"/>
      <x:c r="E65" s="11"/>
      <x:c r="F65" s="11"/>
      <x:c r="G65" s="11"/>
      <x:c r="H65" s="11"/>
    </x:row>
    <x:row r="66" ht="36" customHeight="1">
      <x:c r="A66" s="11"/>
      <x:c r="B66" s="11"/>
      <x:c r="C66" s="11"/>
      <x:c r="D66" s="17"/>
      <x:c r="E66" s="11"/>
      <x:c r="F66" s="11"/>
      <x:c r="G66" s="11"/>
      <x:c r="H66" s="11"/>
    </x:row>
    <x:row r="67" ht="36" customHeight="1">
      <x:c r="A67" s="11"/>
      <x:c r="B67" s="11"/>
      <x:c r="C67" s="11"/>
      <x:c r="D67" s="17"/>
      <x:c r="E67" s="11"/>
      <x:c r="F67" s="11"/>
      <x:c r="G67" s="11"/>
      <x:c r="H67" s="11"/>
    </x:row>
    <x:row r="68" ht="36" customHeight="1">
      <x:c r="A68" s="11"/>
      <x:c r="B68" s="11"/>
      <x:c r="C68" s="11"/>
      <x:c r="D68" s="17"/>
      <x:c r="E68" s="11"/>
      <x:c r="F68" s="11"/>
      <x:c r="G68" s="11"/>
      <x:c r="H68" s="11"/>
    </x:row>
    <x:row r="69" ht="36" customHeight="1">
      <x:c r="A69" s="11"/>
      <x:c r="B69" s="11"/>
      <x:c r="C69" s="11"/>
      <x:c r="D69" s="17"/>
      <x:c r="E69" s="11"/>
      <x:c r="F69" s="11"/>
      <x:c r="G69" s="11"/>
      <x:c r="H69" s="11"/>
    </x:row>
    <x:row r="70" ht="36" customHeight="1">
      <x:c r="A70" s="11"/>
      <x:c r="B70" s="11"/>
      <x:c r="C70" s="11"/>
      <x:c r="D70" s="17"/>
      <x:c r="E70" s="11"/>
      <x:c r="F70" s="11"/>
      <x:c r="G70" s="11"/>
      <x:c r="H70" s="11"/>
    </x:row>
    <x:row r="71" ht="36" customHeight="1">
      <x:c r="A71" s="11"/>
      <x:c r="B71" s="11"/>
      <x:c r="C71" s="11"/>
      <x:c r="D71" s="17"/>
      <x:c r="E71" s="11"/>
      <x:c r="F71" s="11"/>
      <x:c r="G71" s="11"/>
      <x:c r="H71" s="11"/>
    </x:row>
    <x:row r="72" ht="36" customHeight="1">
      <x:c r="A72" s="11"/>
      <x:c r="B72" s="11"/>
      <x:c r="C72" s="11"/>
      <x:c r="D72" s="17"/>
      <x:c r="E72" s="11"/>
      <x:c r="F72" s="11"/>
      <x:c r="G72" s="11"/>
      <x:c r="H72" s="11"/>
    </x:row>
    <x:row r="73" ht="36" customHeight="1">
      <x:c r="A73" s="11"/>
      <x:c r="B73" s="11"/>
      <x:c r="C73" s="11"/>
      <x:c r="D73" s="17"/>
      <x:c r="E73" s="11"/>
      <x:c r="F73" s="11"/>
      <x:c r="G73" s="11"/>
      <x:c r="H73" s="11"/>
    </x:row>
    <x:row r="74" ht="36" customHeight="1">
      <x:c r="A74" s="11"/>
      <x:c r="B74" s="11"/>
      <x:c r="C74" s="11"/>
      <x:c r="D74" s="17"/>
      <x:c r="E74" s="11"/>
      <x:c r="F74" s="11"/>
      <x:c r="G74" s="11"/>
      <x:c r="H74" s="11"/>
    </x:row>
    <x:row r="75" ht="36" customHeight="1">
      <x:c r="A75" s="11"/>
      <x:c r="B75" s="11"/>
      <x:c r="C75" s="11"/>
      <x:c r="D75" s="17"/>
      <x:c r="E75" s="11"/>
      <x:c r="F75" s="11"/>
      <x:c r="G75" s="11"/>
      <x:c r="H75" s="11"/>
    </x:row>
    <x:row r="76" ht="36" customHeight="1">
      <x:c r="A76" s="11"/>
      <x:c r="B76" s="11"/>
      <x:c r="C76" s="11"/>
      <x:c r="D76" s="17"/>
      <x:c r="E76" s="11"/>
      <x:c r="F76" s="11"/>
      <x:c r="G76" s="11"/>
      <x:c r="H76" s="11"/>
    </x:row>
    <x:row r="77" ht="36" customHeight="1">
      <x:c r="A77" s="11"/>
      <x:c r="B77" s="11"/>
      <x:c r="C77" s="11"/>
      <x:c r="D77" s="17"/>
      <x:c r="E77" s="11"/>
      <x:c r="F77" s="11"/>
      <x:c r="G77" s="11"/>
      <x:c r="H77" s="11"/>
    </x:row>
    <x:row r="78" ht="36" customHeight="1">
      <x:c r="A78" s="11"/>
      <x:c r="B78" s="11"/>
      <x:c r="C78" s="11"/>
      <x:c r="D78" s="17"/>
      <x:c r="E78" s="11"/>
      <x:c r="F78" s="11"/>
      <x:c r="G78" s="11"/>
      <x:c r="H78" s="11"/>
    </x:row>
    <x:row r="79" ht="36" customHeight="1">
      <x:c r="A79" s="11"/>
      <x:c r="B79" s="11"/>
      <x:c r="C79" s="11"/>
      <x:c r="D79" s="17"/>
      <x:c r="E79" s="11"/>
      <x:c r="F79" s="11"/>
      <x:c r="G79" s="11"/>
      <x:c r="H79" s="11"/>
    </x:row>
    <x:row r="80" ht="36" customHeight="1">
      <x:c r="A80" s="11"/>
      <x:c r="B80" s="11"/>
      <x:c r="C80" s="11"/>
      <x:c r="D80" s="17"/>
      <x:c r="E80" s="11"/>
      <x:c r="F80" s="11"/>
      <x:c r="G80" s="11"/>
      <x:c r="H80" s="11"/>
    </x:row>
    <x:row r="81" ht="36" customHeight="1">
      <x:c r="A81" s="11"/>
      <x:c r="B81" s="11"/>
      <x:c r="C81" s="11"/>
      <x:c r="D81" s="17"/>
      <x:c r="E81" s="11"/>
      <x:c r="F81" s="11"/>
      <x:c r="G81" s="11"/>
      <x:c r="H81" s="11"/>
    </x:row>
    <x:row r="82" ht="36" customHeight="1">
      <x:c r="A82" s="11"/>
      <x:c r="B82" s="11"/>
      <x:c r="C82" s="11"/>
      <x:c r="D82" s="17"/>
      <x:c r="E82" s="11"/>
      <x:c r="F82" s="11"/>
      <x:c r="G82" s="11"/>
      <x:c r="H82" s="11"/>
    </x:row>
    <x:row r="83" ht="36" customHeight="1">
      <x:c r="A83" s="11"/>
      <x:c r="B83" s="11"/>
      <x:c r="C83" s="11"/>
      <x:c r="D83" s="17"/>
      <x:c r="E83" s="11"/>
      <x:c r="F83" s="11"/>
      <x:c r="G83" s="11"/>
      <x:c r="H83" s="11"/>
    </x:row>
    <x:row r="84" ht="36" customHeight="1">
      <x:c r="A84" s="11"/>
      <x:c r="B84" s="11"/>
      <x:c r="C84" s="11"/>
      <x:c r="D84" s="17"/>
      <x:c r="E84" s="11"/>
      <x:c r="F84" s="11"/>
      <x:c r="G84" s="11"/>
      <x:c r="H84" s="11"/>
    </x:row>
    <x:row r="85" ht="36" customHeight="1">
      <x:c r="A85" s="11"/>
      <x:c r="B85" s="11"/>
      <x:c r="C85" s="11"/>
      <x:c r="D85" s="17"/>
      <x:c r="E85" s="11"/>
      <x:c r="F85" s="11"/>
      <x:c r="G85" s="11"/>
      <x:c r="H85" s="11"/>
    </x:row>
    <x:row r="86" ht="36" customHeight="1">
      <x:c r="A86" s="11"/>
      <x:c r="B86" s="11"/>
      <x:c r="C86" s="11"/>
      <x:c r="D86" s="17"/>
      <x:c r="E86" s="11"/>
      <x:c r="F86" s="11"/>
      <x:c r="G86" s="11"/>
      <x:c r="H86" s="11"/>
    </x:row>
    <x:row r="87" ht="36" customHeight="1">
      <x:c r="A87" s="11"/>
      <x:c r="B87" s="11"/>
      <x:c r="C87" s="11"/>
      <x:c r="D87" s="17"/>
      <x:c r="E87" s="11"/>
      <x:c r="F87" s="11"/>
      <x:c r="G87" s="11"/>
      <x:c r="H87" s="11"/>
    </x:row>
    <x:row r="88" ht="36" customHeight="1">
      <x:c r="A88" s="11"/>
      <x:c r="B88" s="11"/>
      <x:c r="C88" s="11"/>
      <x:c r="D88" s="17"/>
      <x:c r="E88" s="11"/>
      <x:c r="F88" s="11"/>
      <x:c r="G88" s="11"/>
      <x:c r="H88" s="11"/>
    </x:row>
    <x:row r="89" ht="36" customHeight="1">
      <x:c r="A89" s="11"/>
      <x:c r="B89" s="11"/>
      <x:c r="C89" s="11"/>
      <x:c r="D89" s="17"/>
      <x:c r="E89" s="11"/>
      <x:c r="F89" s="11"/>
      <x:c r="G89" s="11"/>
      <x:c r="H89" s="11"/>
    </x:row>
    <x:row r="90" ht="36" customHeight="1">
      <x:c r="A90" s="11"/>
      <x:c r="B90" s="11"/>
      <x:c r="C90" s="11"/>
      <x:c r="D90" s="17"/>
      <x:c r="E90" s="11"/>
      <x:c r="F90" s="11"/>
      <x:c r="G90" s="11"/>
      <x:c r="H90" s="11"/>
    </x:row>
    <x:row r="91" ht="36" customHeight="1">
      <x:c r="A91" s="11"/>
      <x:c r="B91" s="11"/>
      <x:c r="C91" s="11"/>
      <x:c r="D91" s="17"/>
      <x:c r="E91" s="11"/>
      <x:c r="F91" s="11"/>
      <x:c r="G91" s="11"/>
      <x:c r="H91" s="11"/>
    </x:row>
    <x:row r="92" ht="36" customHeight="1">
      <x:c r="A92" s="11"/>
      <x:c r="B92" s="11"/>
      <x:c r="C92" s="11"/>
      <x:c r="D92" s="17"/>
      <x:c r="E92" s="11"/>
      <x:c r="F92" s="11"/>
      <x:c r="G92" s="11"/>
      <x:c r="H92" s="11"/>
    </x:row>
    <x:row r="93" ht="36" customHeight="1">
      <x:c r="A93" s="11"/>
      <x:c r="B93" s="11"/>
      <x:c r="C93" s="11"/>
      <x:c r="D93" s="17"/>
      <x:c r="E93" s="11"/>
      <x:c r="F93" s="11"/>
      <x:c r="G93" s="11"/>
      <x:c r="H93" s="11"/>
    </x:row>
    <x:row r="94" ht="36" customHeight="1">
      <x:c r="A94" s="11"/>
      <x:c r="B94" s="11"/>
      <x:c r="C94" s="11"/>
      <x:c r="D94" s="17"/>
      <x:c r="E94" s="11"/>
      <x:c r="F94" s="11"/>
      <x:c r="G94" s="11"/>
      <x:c r="H94" s="11"/>
    </x:row>
    <x:row r="95" ht="36" customHeight="1">
      <x:c r="A95" s="11"/>
      <x:c r="B95" s="11"/>
      <x:c r="C95" s="11"/>
      <x:c r="D95" s="17"/>
      <x:c r="E95" s="11"/>
      <x:c r="F95" s="11"/>
      <x:c r="G95" s="11"/>
      <x:c r="H95" s="11"/>
    </x:row>
    <x:row r="96" ht="36" customHeight="1">
      <x:c r="A96" s="11"/>
      <x:c r="B96" s="11"/>
      <x:c r="C96" s="11"/>
      <x:c r="D96" s="17"/>
      <x:c r="E96" s="11"/>
      <x:c r="F96" s="11"/>
      <x:c r="G96" s="11"/>
      <x:c r="H96" s="11"/>
    </x:row>
    <x:row r="97" ht="36" customHeight="1">
      <x:c r="A97" s="11"/>
      <x:c r="B97" s="11"/>
      <x:c r="C97" s="11"/>
      <x:c r="D97" s="17"/>
      <x:c r="E97" s="11"/>
      <x:c r="F97" s="11"/>
      <x:c r="G97" s="11"/>
      <x:c r="H97" s="11"/>
    </x:row>
    <x:row r="98" ht="36" customHeight="1">
      <x:c r="A98" s="11"/>
      <x:c r="B98" s="11"/>
      <x:c r="C98" s="11"/>
      <x:c r="D98" s="17"/>
      <x:c r="E98" s="11"/>
      <x:c r="F98" s="11"/>
      <x:c r="G98" s="11"/>
      <x:c r="H98" s="11"/>
    </x:row>
    <x:row r="99" ht="36" customHeight="1">
      <x:c r="A99" s="11"/>
      <x:c r="B99" s="11"/>
      <x:c r="C99" s="11"/>
      <x:c r="D99" s="17"/>
      <x:c r="E99" s="11"/>
      <x:c r="F99" s="11"/>
      <x:c r="G99" s="11"/>
      <x:c r="H99" s="11"/>
    </x:row>
    <x:row r="100" ht="36" customHeight="1">
      <x:c r="A100" s="11"/>
      <x:c r="B100" s="11"/>
      <x:c r="C100" s="11"/>
      <x:c r="D100" s="17"/>
      <x:c r="E100" s="11"/>
      <x:c r="F100" s="11"/>
      <x:c r="G100" s="11"/>
      <x:c r="H100" s="11"/>
    </x:row>
    <x:row r="101" ht="36" customHeight="1">
      <x:c r="A101" s="11"/>
      <x:c r="B101" s="11"/>
      <x:c r="C101" s="11"/>
      <x:c r="D101" s="17"/>
      <x:c r="E101" s="11"/>
      <x:c r="F101" s="11"/>
      <x:c r="G101" s="11"/>
      <x:c r="H101" s="11"/>
    </x:row>
    <x:row r="102" ht="36" customHeight="1">
      <x:c r="A102" s="11"/>
      <x:c r="B102" s="11"/>
      <x:c r="C102" s="11"/>
      <x:c r="D102" s="17"/>
      <x:c r="E102" s="11"/>
      <x:c r="F102" s="11"/>
      <x:c r="G102" s="11"/>
      <x:c r="H102" s="11"/>
    </x:row>
    <x:row r="103" ht="36" customHeight="1">
      <x:c r="A103" s="11"/>
      <x:c r="B103" s="11"/>
      <x:c r="C103" s="11"/>
      <x:c r="D103" s="17"/>
      <x:c r="E103" s="11"/>
      <x:c r="F103" s="11"/>
      <x:c r="G103" s="11"/>
      <x:c r="H103" s="11"/>
    </x:row>
    <x:row r="104" ht="36" customHeight="1">
      <x:c r="A104" s="11"/>
      <x:c r="B104" s="11"/>
      <x:c r="C104" s="11"/>
      <x:c r="D104" s="17"/>
      <x:c r="E104" s="11"/>
      <x:c r="F104" s="11"/>
      <x:c r="G104" s="11"/>
      <x:c r="H104" s="11"/>
    </x:row>
    <x:row r="105" ht="36" customHeight="1">
      <x:c r="A105" s="11"/>
      <x:c r="B105" s="11"/>
      <x:c r="C105" s="11"/>
      <x:c r="D105" s="17"/>
      <x:c r="E105" s="11"/>
      <x:c r="F105" s="11"/>
      <x:c r="G105" s="11"/>
      <x:c r="H105" s="11"/>
    </x:row>
  </x:sheetData>
  <x:dataValidations count="2">
    <x:dataValidation type="list" sqref="F6:F105">
      <x:formula1>"是,否"</x:formula1>
    </x:dataValidation>
    <x:dataValidation type="list" sqref="H6:H105">
      <x:formula1>"可定位,待补,失效"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6194295598473e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95" hidden="0" customWidth="1"/>
  </x:cols>
  <x:sheetData>
    <x:row r="2" ht="56" customHeight="1">
      <x:c r="A2" s="31" t="str">
        <x:v>填写规则</x:v>
      </x:c>
      <x:c r="B2" s="31" t="str">
        <x:v>说明</x:v>
      </x:c>
    </x:row>
    <x:row r="3" ht="56" customHeight="1">
      <x:c r="A3" s="29" t="str">
        <x:v>工作簿单位</x:v>
      </x:c>
      <x:c r="B3" s="29" t="str">
        <x:v>一本工作簿对应一轮RUN；批次B1能力验证、B2试取样、B3扩展。只有明确标研究的观察进入统计。</x:v>
      </x:c>
    </x:row>
    <x:row r="4" ht="56" customHeight="1">
      <x:c r="A4" s="29" t="str">
        <x:v>空白与0</x:v>
      </x:c>
      <x:c r="B4" s="29" t="str">
        <x:v>初始没有真实数据，因此汇总显示未执行；已发生观察但没有有效问题时V=0；D=0时比例不适用。</x:v>
      </x:c>
    </x:row>
    <x:row r="5" ht="56" customHeight="1">
      <x:c r="A5" s="29" t="str">
        <x:v>去重分母</x:v>
      </x:c>
      <x:c r="B5" s="29" t="str">
        <x:v>相同CID只累计一次。没有有效问题的安全广告、纯互动等仍保留在D；隐私无法判重另列U，不偷偷过滤提升效率。</x:v>
      </x:c>
    </x:row>
    <x:row r="6" ht="56" customHeight="1">
      <x:c r="A6" s="29" t="str">
        <x:v>来源条件</x:v>
      </x:c>
      <x:c r="B6" s="29" t="str">
        <x:v>评论应关联唯一批次、笔记、证据。V2.1-r1：同CID任一正式研究观察可复核即计L一次，问题关联采用首条可复核研究笔记，能力验证不计反例。</x:v>
      </x:c>
    </x:row>
    <x:row r="7" ht="56" customHeight="1">
      <x:c r="A7" s="29" t="str">
        <x:v>问题关联</x:v>
      </x:c>
      <x:c r="B7" s="29" t="str">
        <x:v>每行一个P-C关系。重复P-C支持只计一次；同C支持多个P允许，但V按CID去重。支持笔记数不是独立用户数。</x:v>
      </x:c>
    </x:row>
    <x:row r="8" ht="56" customHeight="1">
      <x:c r="A8" s="29" t="str">
        <x:v>判定责任</x:v>
      </x:c>
      <x:c r="B8" s="29" t="str">
        <x:v>人工判断同义问题归类、重复关系、业务匹配、门槛、专业风险与报告逻辑；公式只统计已填记录。</x:v>
      </x:c>
    </x:row>
    <x:row r="9" ht="56" customHeight="1">
      <x:c r="A9" s="29" t="str">
        <x:v>推荐条件</x:v>
      </x:c>
      <x:c r="B9" s="29" t="str">
        <x:v>H1—H5通过、S5/S6、有效问题且业务匹配、专业审核依据、完整自然语言理由人工复核、三平台分别有完整意见，人工标推荐。</x:v>
      </x:c>
    </x:row>
    <x:row r="10" ht="56" customHeight="1">
      <x:c r="A10" s="29" t="str">
        <x:v>平台未知</x:v>
      </x:c>
      <x:c r="B10" s="29" t="str">
        <x:v>可以记录规则待核，不等于该平台已通过；核心医学资格未核会阻断H3/H5，不能借平台拆分放行。</x:v>
      </x:c>
    </x:row>
    <x:row r="11" ht="56" customHeight="1">
      <x:c r="A11" s="29" t="str">
        <x:v>输入容量</x:v>
      </x:c>
      <x:c r="B11" s="29" t="str">
        <x:v>预置批次12/检索30/账号20/笔记30/观察200/问题30/关联200/候选20/平台60/理由20/证据100行。容量不是授权数量。扩容需同步公式范围并复验。</x:v>
      </x:c>
    </x:row>
    <x:row r="12" ht="56" customHeight="1">
      <x:c r="A12" s="29" t="str">
        <x:v>排序安全</x:v>
      </x:c>
      <x:c r="B12" s="29" t="str">
        <x:v>按原始观察顺序追加；用筛选查看，避免单列排序破坏整行关系。所有引用采用稳定编号；修改CID应同步关联表。</x:v>
      </x:c>
    </x:row>
    <x:row r="13" ht="56" customHeight="1">
      <x:c r="A13" s="29" t="str">
        <x:v>B2最新口径</x:v>
      </x:c>
      <x:c r="B13" s="29" t="str">
        <x:v>两条笔记，每条目标10—15不重复可见评论，合计20—30；B3累计包含B2，不能把批内去重数直接相加。</x:v>
      </x:c>
    </x:row>
    <x:row r="14" ht="56" customHeight="1">
      <x:c r="A14" s="29" t="str">
        <x:v>本批与累计</x:v>
      </x:c>
      <x:c r="B14" s="29" t="str">
        <x:v>批次页本批去重在本批去重；新增为该CID第一次出现在研究记录中的批次。累计取全表CID首见。</x:v>
      </x:c>
    </x:row>
    <x:row r="15" ht="56" customHeight="1">
      <x:c r="A15" s="29" t="str">
        <x:v>隐私</x:v>
      </x:c>
      <x:c r="B15" s="29" t="str">
        <x:v>只留必要脱敏片段，不存昵称头像、联系方式、私人病史；敏感排除行只记录类别，不留内容和身份。</x:v>
      </x:c>
    </x:row>
    <x:row r="16" ht="56" customHeight="1">
      <x:c r="A16" s="29" t="str">
        <x:v>单个问题支持</x:v>
      </x:c>
      <x:c r="B16" s="29" t="str">
        <x:v>问题库自动汇总有效支持评论、不同笔记和反例；多标签支持总和可能高于V，不能写成独立用户总数。</x:v>
      </x:c>
    </x:row>
    <x:row r="17" ht="56" customHeight="1">
      <x:c r="A17" s="29" t="str">
        <x:v>审核完成</x:v>
      </x:c>
      <x:c r="B17" s="29" t="str">
        <x:v>候选待审核与研究完成分开；甲方意见待审不能自动计认可，总控确认研究交付不等于发布。</x:v>
      </x:c>
    </x:row>
    <x:row r="18" ht="56" customHeight="1">
      <x:c r="A18" s="29" t="str">
        <x:v>数据来源</x:v>
      </x:c>
      <x:c r="B18" s="29" t="str">
        <x:v>空白模板 V2.1-r1 2026-10-21，基于用户05工作簿修正四项统计边界。原附件不覆盖；模拟仅在临时副本。范围、编号与人审仍需复核。</x:v>
      </x:c>
    </x:row>
  </x:sheetData>
  <x:pageMargins left="0.7" right="0.7" top="0.75" bottom="0.75" header="0.3" footer="0.3"/>
</x:worksheet>
</file>